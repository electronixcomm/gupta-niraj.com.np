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P Calculator" sheetId="1" state="visible" r:id="rId3"/>
    <sheet name="Network Design Tabl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<sst xmlns="http://schemas.openxmlformats.org/spreadsheetml/2006/main" count="115" uniqueCount="105">
  <si>
    <t xml:space="preserve">IP Subnet Calculator</t>
  </si>
  <si>
    <t xml:space="preserve">Enter a network/host IP address and prefix length in the yellow cells below. Every other cell recalculates automatically.</t>
  </si>
  <si>
    <t xml:space="preserve">INPUTS</t>
  </si>
  <si>
    <t xml:space="preserve">Network / Host IP Address</t>
  </si>
  <si>
    <t xml:space="preserve">10.0.0.0</t>
  </si>
  <si>
    <t xml:space="preserve">Example: 10.0.0.0</t>
  </si>
  <si>
    <t xml:space="preserve">Prefix Length (CIDR /n)</t>
  </si>
  <si>
    <t xml:space="preserve">Enter only the number after the slash, e.g. 8 for /8</t>
  </si>
  <si>
    <t xml:space="preserve">RESULTS</t>
  </si>
  <si>
    <t xml:space="preserve">Subnet Mask</t>
  </si>
  <si>
    <t xml:space="preserve">Wildcard Mask</t>
  </si>
  <si>
    <t xml:space="preserve">Total Addresses (2^(32-n))</t>
  </si>
  <si>
    <t xml:space="preserve">Usable Hosts</t>
  </si>
  <si>
    <t xml:space="preserve">Network ID</t>
  </si>
  <si>
    <t xml:space="preserve">First Usable IP</t>
  </si>
  <si>
    <t xml:space="preserve">Last Usable IP</t>
  </si>
  <si>
    <t xml:space="preserve">Broadcast IP</t>
  </si>
  <si>
    <t xml:space="preserve">INTERNAL CALCULATION ENGINE (reference only — do not edit)</t>
  </si>
  <si>
    <t xml:space="preserve">Dot position 1</t>
  </si>
  <si>
    <t xml:space="preserve">Dot position 2</t>
  </si>
  <si>
    <t xml:space="preserve">Dot position 3</t>
  </si>
  <si>
    <t xml:space="preserve">Octet 1</t>
  </si>
  <si>
    <t xml:space="preserve">Octet 2</t>
  </si>
  <si>
    <t xml:space="preserve">Octet 3</t>
  </si>
  <si>
    <t xml:space="preserve">Octet 4</t>
  </si>
  <si>
    <t xml:space="preserve">IP Address as Integer</t>
  </si>
  <si>
    <t xml:space="preserve">Block Size = 2^(32-n)</t>
  </si>
  <si>
    <t xml:space="preserve">Network Address (Integer)</t>
  </si>
  <si>
    <t xml:space="preserve">Broadcast Address (Integer)</t>
  </si>
  <si>
    <t xml:space="preserve">Subnet Mask (Integer)</t>
  </si>
  <si>
    <t xml:space="preserve">First Host (Integer)</t>
  </si>
  <si>
    <t xml:space="preserve">Last Host (Integer)</t>
  </si>
  <si>
    <t xml:space="preserve">Network Design Table — Network ID, Usable Range &amp; Broadcast Calculator</t>
  </si>
  <si>
    <t xml:space="preserve">Edit only the yellow cells (Network IP and Prefix). All other columns are formulas and recalculate automatically.</t>
  </si>
  <si>
    <t xml:space="preserve">Site / Department</t>
  </si>
  <si>
    <t xml:space="preserve">Network IP</t>
  </si>
  <si>
    <t xml:space="preserve">Prefix /n</t>
  </si>
  <si>
    <t xml:space="preserve">Dot1</t>
  </si>
  <si>
    <t xml:space="preserve">Dot2</t>
  </si>
  <si>
    <t xml:space="preserve">Dot3</t>
  </si>
  <si>
    <t xml:space="preserve">Oct1</t>
  </si>
  <si>
    <t xml:space="preserve">Oct2</t>
  </si>
  <si>
    <t xml:space="preserve">Oct3</t>
  </si>
  <si>
    <t xml:space="preserve">Oct4</t>
  </si>
  <si>
    <t xml:space="preserve">IP Int</t>
  </si>
  <si>
    <t xml:space="preserve">Block Size</t>
  </si>
  <si>
    <t xml:space="preserve">Net Int</t>
  </si>
  <si>
    <t xml:space="preserve">Bcast Int</t>
  </si>
  <si>
    <t xml:space="preserve">Mask Int</t>
  </si>
  <si>
    <t xml:space="preserve">First Int</t>
  </si>
  <si>
    <t xml:space="preserve">Last Int</t>
  </si>
  <si>
    <t xml:space="preserve">Chaudhary Group (CG Corporation) — Class A Design, 10.0.0.0/8</t>
  </si>
  <si>
    <t xml:space="preserve">Nepal HQ</t>
  </si>
  <si>
    <t xml:space="preserve">India</t>
  </si>
  <si>
    <t xml:space="preserve">10.4.0.0</t>
  </si>
  <si>
    <t xml:space="preserve">Middle East</t>
  </si>
  <si>
    <t xml:space="preserve">10.8.0.0</t>
  </si>
  <si>
    <t xml:space="preserve">Africa</t>
  </si>
  <si>
    <t xml:space="preserve">10.12.0.0</t>
  </si>
  <si>
    <t xml:space="preserve">Southeast Asia</t>
  </si>
  <si>
    <t xml:space="preserve">10.16.0.0</t>
  </si>
  <si>
    <t xml:space="preserve">Europe</t>
  </si>
  <si>
    <t xml:space="preserve">10.20.0.0</t>
  </si>
  <si>
    <t xml:space="preserve">Supernet: Nepal HQ + India</t>
  </si>
  <si>
    <t xml:space="preserve">Pokhara University — Class B Design, 172.16.0.0/16</t>
  </si>
  <si>
    <t xml:space="preserve">Science &amp; Technology</t>
  </si>
  <si>
    <t xml:space="preserve">172.16.0.0</t>
  </si>
  <si>
    <t xml:space="preserve">Management</t>
  </si>
  <si>
    <t xml:space="preserve">172.16.8.0</t>
  </si>
  <si>
    <t xml:space="preserve">Humanities &amp; Social Sci.</t>
  </si>
  <si>
    <t xml:space="preserve">172.16.16.0</t>
  </si>
  <si>
    <t xml:space="preserve">Health Sciences</t>
  </si>
  <si>
    <t xml:space="preserve">172.16.24.0</t>
  </si>
  <si>
    <t xml:space="preserve">Central Library</t>
  </si>
  <si>
    <t xml:space="preserve">172.16.32.0</t>
  </si>
  <si>
    <t xml:space="preserve">Administration</t>
  </si>
  <si>
    <t xml:space="preserve">172.16.40.0</t>
  </si>
  <si>
    <t xml:space="preserve">Hostel Block 1</t>
  </si>
  <si>
    <t xml:space="preserve">172.16.48.0</t>
  </si>
  <si>
    <t xml:space="preserve">Hostel Block 2</t>
  </si>
  <si>
    <t xml:space="preserve">172.16.56.0</t>
  </si>
  <si>
    <t xml:space="preserve">Hostel Block 3</t>
  </si>
  <si>
    <t xml:space="preserve">172.16.64.0</t>
  </si>
  <si>
    <t xml:space="preserve">Hostel Block 4</t>
  </si>
  <si>
    <t xml:space="preserve">172.16.72.0</t>
  </si>
  <si>
    <t xml:space="preserve">Supernet: Library + Admin + Hostels 1-2</t>
  </si>
  <si>
    <t xml:space="preserve">UniGlobe College — Class C Head Office, 192.168.1.0/24</t>
  </si>
  <si>
    <t xml:space="preserve">Admissions</t>
  </si>
  <si>
    <t xml:space="preserve">192.168.1.0</t>
  </si>
  <si>
    <t xml:space="preserve">Academics</t>
  </si>
  <si>
    <t xml:space="preserve">192.168.1.32</t>
  </si>
  <si>
    <t xml:space="preserve">IT Support</t>
  </si>
  <si>
    <t xml:space="preserve">192.168.1.64</t>
  </si>
  <si>
    <t xml:space="preserve">Finance</t>
  </si>
  <si>
    <t xml:space="preserve">192.168.1.96</t>
  </si>
  <si>
    <t xml:space="preserve">Vianet Communications — Branch Supernetting (Class C)</t>
  </si>
  <si>
    <t xml:space="preserve">Kathmandu Branch</t>
  </si>
  <si>
    <t xml:space="preserve">200.10.0.0</t>
  </si>
  <si>
    <t xml:space="preserve">Pokhara Branch</t>
  </si>
  <si>
    <t xml:space="preserve">200.10.1.0</t>
  </si>
  <si>
    <t xml:space="preserve">Chitwan Branch</t>
  </si>
  <si>
    <t xml:space="preserve">200.10.2.0</t>
  </si>
  <si>
    <t xml:space="preserve">Butwal Branch</t>
  </si>
  <si>
    <t xml:space="preserve">200.10.3.0</t>
  </si>
  <si>
    <t xml:space="preserve">Supernet: All 4 Branches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</si>
</sst>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5A565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9"/>
      <color rgb="FF5A5650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1"/>
      <color rgb="FF5A5650"/>
      <name val="Arial"/>
      <family val="0"/>
      <charset val="1"/>
    </font>
    <font>
      <b val="true"/>
      <sz val="15"/>
      <color rgb="FFFFFFFF"/>
      <name val="Arial"/>
      <family val="0"/>
      <charset val="1"/>
    </font>
    <font>
      <b val="true"/>
      <sz val="8"/>
      <color rgb="FF5A565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223047"/>
        <bgColor rgb="FF003366"/>
      </patternFill>
    </fill>
    <fill>
      <patternFill patternType="solid">
        <fgColor rgb="FF9E1B32"/>
        <bgColor rgb="FF993366"/>
      </patternFill>
    </fill>
    <fill>
      <patternFill patternType="solid">
        <fgColor rgb="FFFFFF00"/>
        <bgColor rgb="FFFFFF00"/>
      </patternFill>
    </fill>
    <fill>
      <patternFill patternType="solid">
        <fgColor rgb="FFEDF0F4"/>
        <bgColor rgb="FFFFFFFF"/>
      </patternFill>
    </fill>
    <fill>
      <patternFill patternType="solid">
        <fgColor rgb="FF5A5650"/>
        <bgColor rgb="FF8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EDACF"/>
      </left>
      <right style="thin">
        <color rgb="FFDEDACF"/>
      </right>
      <top style="thin">
        <color rgb="FFDEDACF"/>
      </top>
      <bottom style="thin">
        <color rgb="FFDEDAC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6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DF0F4"/>
      <rgbColor rgb="FFCCFFFF"/>
      <rgbColor rgb="FF660066"/>
      <rgbColor rgb="FFFF8080"/>
      <rgbColor rgb="FF0066CC"/>
      <rgbColor rgb="FFDEDAC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5650"/>
      <rgbColor rgb="FF969696"/>
      <rgbColor rgb="FF003366"/>
      <rgbColor rgb="FF339966"/>
      <rgbColor rgb="FF003300"/>
      <rgbColor rgb="FF333300"/>
      <rgbColor rgb="FF9E1B32"/>
      <rgbColor rgb="FF993366"/>
      <rgbColor rgb="FF333399"/>
      <rgbColor rgb="FF22304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6"/>
    <col collapsed="false" customWidth="true" hidden="false" outlineLevel="0" max="3" min="3" style="0" width="3"/>
    <col collapsed="false" customWidth="true" hidden="false" outlineLevel="0" max="4" min="4" style="0" width="60"/>
  </cols>
  <sheetData>
    <row r="1" customFormat="false" ht="30" hidden="false" customHeight="true" outlineLevel="0" collapsed="false">
      <c r="A1" s="1" t="s">
        <v>0</v>
      </c>
      <c r="B1" s="1"/>
      <c r="C1" s="1"/>
      <c r="D1" s="1"/>
    </row>
    <row r="2" customFormat="false" ht="25.5" hidden="false" customHeight="true" outlineLevel="0" collapsed="false">
      <c r="A2" s="2" t="s">
        <v>1</v>
      </c>
      <c r="B2" s="2"/>
      <c r="C2" s="2"/>
      <c r="D2" s="2"/>
    </row>
    <row r="4" customFormat="false" ht="15" hidden="false" customHeight="false" outlineLevel="0" collapsed="false">
      <c r="A4" s="3" t="s">
        <v>2</v>
      </c>
      <c r="B4" s="3"/>
    </row>
    <row r="5" customFormat="false" ht="15" hidden="false" customHeight="false" outlineLevel="0" collapsed="false">
      <c r="A5" s="4" t="s">
        <v>3</v>
      </c>
      <c r="B5" s="5" t="s">
        <v>4</v>
      </c>
      <c r="D5" s="6" t="s">
        <v>5</v>
      </c>
    </row>
    <row r="6" customFormat="false" ht="15" hidden="false" customHeight="false" outlineLevel="0" collapsed="false">
      <c r="A6" s="4" t="s">
        <v>6</v>
      </c>
      <c r="B6" s="5" t="n">
        <v>8</v>
      </c>
      <c r="D6" s="6" t="s">
        <v>7</v>
      </c>
    </row>
    <row r="9" customFormat="false" ht="15" hidden="false" customHeight="false" outlineLevel="0" collapsed="false">
      <c r="A9" s="7" t="s">
        <v>8</v>
      </c>
      <c r="B9" s="7"/>
    </row>
    <row r="10" customFormat="false" ht="15" hidden="false" customHeight="false" outlineLevel="0" collapsed="false">
      <c r="A10" s="8" t="s">
        <v>9</v>
      </c>
      <c r="B10" s="9" t="str">
        <f aca="false">INT($B$31/16777216)&amp;"."&amp;INT(MOD($B$31,16777216)/65536)&amp;"."&amp;INT(MOD($B$31,65536)/256)&amp;"."&amp;MOD($B$31,256)</f>
        <v>255.0.0.0</v>
      </c>
    </row>
    <row r="11" customFormat="false" ht="15" hidden="false" customHeight="false" outlineLevel="0" collapsed="false">
      <c r="A11" s="10" t="s">
        <v>10</v>
      </c>
      <c r="B11" s="11" t="str">
        <f aca="false">(255-INT($B$31/16777216))&amp;"."&amp;(255-INT(MOD($B$31,16777216)/65536))&amp;"."&amp;(255-INT(MOD($B$31,65536)/256))&amp;"."&amp;(255-MOD($B$31,256))</f>
        <v>0.255.255.255</v>
      </c>
    </row>
    <row r="12" customFormat="false" ht="15" hidden="false" customHeight="false" outlineLevel="0" collapsed="false">
      <c r="A12" s="8" t="s">
        <v>11</v>
      </c>
      <c r="B12" s="9" t="n">
        <f aca="false">$B$28</f>
        <v>16777216</v>
      </c>
    </row>
    <row r="13" customFormat="false" ht="15" hidden="false" customHeight="false" outlineLevel="0" collapsed="false">
      <c r="A13" s="10" t="s">
        <v>12</v>
      </c>
      <c r="B13" s="11" t="n">
        <f aca="false">IF($B$6=32,1,IF($B$6=31,2,$B$28-2))</f>
        <v>16777214</v>
      </c>
    </row>
    <row r="14" customFormat="false" ht="15" hidden="false" customHeight="false" outlineLevel="0" collapsed="false">
      <c r="A14" s="8" t="s">
        <v>13</v>
      </c>
      <c r="B14" s="9" t="str">
        <f aca="false">INT($B$29/16777216)&amp;"."&amp;INT(MOD($B$29,16777216)/65536)&amp;"."&amp;INT(MOD($B$29,65536)/256)&amp;"."&amp;MOD($B$29,256)</f>
        <v>10.0.0.0</v>
      </c>
    </row>
    <row r="15" customFormat="false" ht="15" hidden="false" customHeight="false" outlineLevel="0" collapsed="false">
      <c r="A15" s="10" t="s">
        <v>14</v>
      </c>
      <c r="B15" s="11" t="str">
        <f aca="false">INT($B$32/16777216)&amp;"."&amp;INT(MOD($B$32,16777216)/65536)&amp;"."&amp;INT(MOD($B$32,65536)/256)&amp;"."&amp;MOD($B$32,256)</f>
        <v>10.0.0.1</v>
      </c>
    </row>
    <row r="16" customFormat="false" ht="15" hidden="false" customHeight="false" outlineLevel="0" collapsed="false">
      <c r="A16" s="8" t="s">
        <v>15</v>
      </c>
      <c r="B16" s="9" t="str">
        <f aca="false">INT($B$33/16777216)&amp;"."&amp;INT(MOD($B$33,16777216)/65536)&amp;"."&amp;INT(MOD($B$33,65536)/256)&amp;"."&amp;MOD($B$33,256)</f>
        <v>10.255.255.254</v>
      </c>
    </row>
    <row r="17" customFormat="false" ht="15" hidden="false" customHeight="false" outlineLevel="0" collapsed="false">
      <c r="A17" s="10" t="s">
        <v>16</v>
      </c>
      <c r="B17" s="11" t="str">
        <f aca="false">IF($B$6=32,"N/A (host route)",IF($B$6=31,"N/A (point-to-point, RFC 3021)",INT($B$30/16777216)&amp;"."&amp;INT(MOD($B$30,16777216)/65536)&amp;"."&amp;INT(MOD($B$30,65536)/256)&amp;"."&amp;MOD($B$30,256)))</f>
        <v>10.255.255.255</v>
      </c>
    </row>
    <row r="19" customFormat="false" ht="15" hidden="false" customHeight="false" outlineLevel="0" collapsed="false">
      <c r="A19" s="12" t="s">
        <v>17</v>
      </c>
      <c r="B19" s="12"/>
    </row>
    <row r="20" customFormat="false" ht="15" hidden="false" customHeight="false" outlineLevel="0" collapsed="false">
      <c r="A20" s="13" t="s">
        <v>18</v>
      </c>
      <c r="B20" s="13" t="n">
        <f aca="false">FIND(".",$B$5)</f>
        <v>3</v>
      </c>
    </row>
    <row r="21" customFormat="false" ht="15" hidden="false" customHeight="false" outlineLevel="0" collapsed="false">
      <c r="A21" s="13" t="s">
        <v>19</v>
      </c>
      <c r="B21" s="13" t="n">
        <f aca="false">FIND(".",$B$5,B20+1)</f>
        <v>5</v>
      </c>
    </row>
    <row r="22" customFormat="false" ht="15" hidden="false" customHeight="false" outlineLevel="0" collapsed="false">
      <c r="A22" s="13" t="s">
        <v>20</v>
      </c>
      <c r="B22" s="13" t="n">
        <f aca="false">FIND(".",$B$5,B21+1)</f>
        <v>7</v>
      </c>
    </row>
    <row r="23" customFormat="false" ht="15" hidden="false" customHeight="false" outlineLevel="0" collapsed="false">
      <c r="A23" s="13" t="s">
        <v>21</v>
      </c>
      <c r="B23" s="13" t="n">
        <f aca="false">VALUE(LEFT($B$5,B20-1))</f>
        <v>10</v>
      </c>
    </row>
    <row r="24" customFormat="false" ht="15" hidden="false" customHeight="false" outlineLevel="0" collapsed="false">
      <c r="A24" s="13" t="s">
        <v>22</v>
      </c>
      <c r="B24" s="13" t="n">
        <f aca="false">VALUE(MID($B$5,B20+1,B21-B20-1))</f>
        <v>0</v>
      </c>
    </row>
    <row r="25" customFormat="false" ht="15" hidden="false" customHeight="false" outlineLevel="0" collapsed="false">
      <c r="A25" s="13" t="s">
        <v>23</v>
      </c>
      <c r="B25" s="13" t="n">
        <f aca="false">VALUE(MID($B$5,B21+1,B22-B21-1))</f>
        <v>0</v>
      </c>
    </row>
    <row r="26" customFormat="false" ht="15" hidden="false" customHeight="false" outlineLevel="0" collapsed="false">
      <c r="A26" s="13" t="s">
        <v>24</v>
      </c>
      <c r="B26" s="13" t="n">
        <f aca="false">VALUE(MID($B$5,B22+1,LEN($B$5)-B22))</f>
        <v>0</v>
      </c>
    </row>
    <row r="27" customFormat="false" ht="15" hidden="false" customHeight="false" outlineLevel="0" collapsed="false">
      <c r="A27" s="13" t="s">
        <v>25</v>
      </c>
      <c r="B27" s="13" t="n">
        <f aca="false">B23*16777216+B24*65536+B25*256+B26</f>
        <v>167772160</v>
      </c>
    </row>
    <row r="28" customFormat="false" ht="15" hidden="false" customHeight="false" outlineLevel="0" collapsed="false">
      <c r="A28" s="13" t="s">
        <v>26</v>
      </c>
      <c r="B28" s="13" t="n">
        <f aca="false">POWER(2,32-$B$6)</f>
        <v>16777216</v>
      </c>
    </row>
    <row r="29" customFormat="false" ht="15" hidden="false" customHeight="false" outlineLevel="0" collapsed="false">
      <c r="A29" s="13" t="s">
        <v>27</v>
      </c>
      <c r="B29" s="13" t="n">
        <f aca="false">B27-MOD(B27,B28)</f>
        <v>167772160</v>
      </c>
    </row>
    <row r="30" customFormat="false" ht="15" hidden="false" customHeight="false" outlineLevel="0" collapsed="false">
      <c r="A30" s="13" t="s">
        <v>28</v>
      </c>
      <c r="B30" s="13" t="n">
        <f aca="false">B29+B28-1</f>
        <v>184549375</v>
      </c>
    </row>
    <row r="31" customFormat="false" ht="15" hidden="false" customHeight="false" outlineLevel="0" collapsed="false">
      <c r="A31" s="13" t="s">
        <v>29</v>
      </c>
      <c r="B31" s="13" t="n">
        <f aca="false">POWER(2,32)-B28</f>
        <v>4278190080</v>
      </c>
    </row>
    <row r="32" customFormat="false" ht="15" hidden="false" customHeight="false" outlineLevel="0" collapsed="false">
      <c r="A32" s="13" t="s">
        <v>30</v>
      </c>
      <c r="B32" s="13" t="n">
        <f aca="false">IF($B$6&gt;=31,B29,B29+1)</f>
        <v>167772161</v>
      </c>
    </row>
    <row r="33" customFormat="false" ht="15" hidden="false" customHeight="false" outlineLevel="0" collapsed="false">
      <c r="A33" s="13" t="s">
        <v>31</v>
      </c>
      <c r="B33" s="13" t="n">
        <f aca="false">IF($B$6=32,B29,IF($B$6=31,B30,B30-1))</f>
        <v>184549374</v>
      </c>
    </row>
  </sheetData>
  <mergeCells count="5">
    <mergeCell ref="A1:D1"/>
    <mergeCell ref="A2:D2"/>
    <mergeCell ref="A4:B4"/>
    <mergeCell ref="A9:B9"/>
    <mergeCell ref="A19:B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8"/>
    <col collapsed="false" customWidth="true" hidden="false" outlineLevel="0" max="4" min="4" style="0" width="17"/>
    <col collapsed="false" customWidth="true" hidden="false" outlineLevel="0" max="8" min="5" style="0" width="16"/>
    <col collapsed="false" customWidth="true" hidden="false" outlineLevel="0" max="9" min="9" style="0" width="13"/>
    <col collapsed="false" customWidth="true" hidden="true" outlineLevel="0" max="25" min="12" style="0" width="13"/>
  </cols>
  <sheetData>
    <row r="1" customFormat="false" ht="27.75" hidden="false" customHeight="true" outlineLevel="0" collapsed="false">
      <c r="A1" s="14" t="s">
        <v>32</v>
      </c>
      <c r="B1" s="14"/>
      <c r="C1" s="14"/>
      <c r="D1" s="14"/>
      <c r="E1" s="14"/>
      <c r="F1" s="14"/>
      <c r="G1" s="14"/>
      <c r="H1" s="14"/>
      <c r="I1" s="14"/>
    </row>
    <row r="2" customFormat="false" ht="18" hidden="false" customHeight="true" outlineLevel="0" collapsed="false">
      <c r="A2" s="15" t="s">
        <v>33</v>
      </c>
      <c r="B2" s="15"/>
      <c r="C2" s="15"/>
      <c r="D2" s="15"/>
      <c r="E2" s="15"/>
      <c r="F2" s="15"/>
      <c r="G2" s="15"/>
      <c r="H2" s="15"/>
      <c r="I2" s="15"/>
    </row>
    <row r="4" customFormat="false" ht="30" hidden="false" customHeight="true" outlineLevel="0" collapsed="false">
      <c r="A4" s="16" t="s">
        <v>34</v>
      </c>
      <c r="B4" s="16" t="s">
        <v>35</v>
      </c>
      <c r="C4" s="16" t="s">
        <v>36</v>
      </c>
      <c r="D4" s="16" t="s">
        <v>9</v>
      </c>
      <c r="E4" s="16" t="s">
        <v>13</v>
      </c>
      <c r="F4" s="16" t="s">
        <v>14</v>
      </c>
      <c r="G4" s="16" t="s">
        <v>15</v>
      </c>
      <c r="H4" s="16" t="s">
        <v>16</v>
      </c>
      <c r="I4" s="16" t="s">
        <v>12</v>
      </c>
      <c r="L4" s="17" t="s">
        <v>37</v>
      </c>
      <c r="M4" s="17" t="s">
        <v>38</v>
      </c>
      <c r="N4" s="17" t="s">
        <v>39</v>
      </c>
      <c r="O4" s="17" t="s">
        <v>40</v>
      </c>
      <c r="P4" s="17" t="s">
        <v>41</v>
      </c>
      <c r="Q4" s="17" t="s">
        <v>42</v>
      </c>
      <c r="R4" s="17" t="s">
        <v>43</v>
      </c>
      <c r="S4" s="17" t="s">
        <v>44</v>
      </c>
      <c r="T4" s="17" t="s">
        <v>45</v>
      </c>
      <c r="U4" s="17" t="s">
        <v>46</v>
      </c>
      <c r="V4" s="17" t="s">
        <v>47</v>
      </c>
      <c r="W4" s="17" t="s">
        <v>48</v>
      </c>
      <c r="X4" s="17" t="s">
        <v>49</v>
      </c>
      <c r="Y4" s="17" t="s">
        <v>50</v>
      </c>
    </row>
    <row r="5" customFormat="false" ht="21.75" hidden="false" customHeight="true" outlineLevel="0" collapsed="false">
      <c r="A5" s="3" t="s">
        <v>51</v>
      </c>
      <c r="B5" s="3"/>
      <c r="C5" s="3"/>
      <c r="D5" s="3"/>
      <c r="E5" s="3"/>
      <c r="F5" s="3"/>
      <c r="G5" s="3"/>
      <c r="H5" s="3"/>
      <c r="I5" s="3"/>
    </row>
    <row r="6" customFormat="false" ht="15" hidden="false" customHeight="false" outlineLevel="0" collapsed="false">
      <c r="A6" s="18" t="s">
        <v>52</v>
      </c>
      <c r="B6" s="5" t="s">
        <v>4</v>
      </c>
      <c r="C6" s="5" t="n">
        <v>14</v>
      </c>
      <c r="D6" s="11" t="str">
        <f aca="false">INT(W6/16777216)&amp;"."&amp;INT(MOD(W6,16777216)/65536)&amp;"."&amp;INT(MOD(W6,65536)/256)&amp;"."&amp;MOD(W6,256)</f>
        <v>255.252.0.0</v>
      </c>
      <c r="E6" s="11" t="str">
        <f aca="false">INT(U6/16777216)&amp;"."&amp;INT(MOD(U6,16777216)/65536)&amp;"."&amp;INT(MOD(U6,65536)/256)&amp;"."&amp;MOD(U6,256)</f>
        <v>10.0.0.0</v>
      </c>
      <c r="F6" s="11" t="str">
        <f aca="false">INT(X6/16777216)&amp;"."&amp;INT(MOD(X6,16777216)/65536)&amp;"."&amp;INT(MOD(X6,65536)/256)&amp;"."&amp;MOD(X6,256)</f>
        <v>10.0.0.1</v>
      </c>
      <c r="G6" s="11" t="str">
        <f aca="false">INT(Y6/16777216)&amp;"."&amp;INT(MOD(Y6,16777216)/65536)&amp;"."&amp;INT(MOD(Y6,65536)/256)&amp;"."&amp;MOD(Y6,256)</f>
        <v>10.3.255.254</v>
      </c>
      <c r="H6" s="11" t="str">
        <f aca="false">IF($C6=32,"N/A",IF($C6=31,"N/A",INT(V6/16777216)&amp;"."&amp;INT(MOD(V6,16777216)/65536)&amp;"."&amp;INT(MOD(V6,65536)/256)&amp;"."&amp;MOD(V6,256)))</f>
        <v>10.3.255.255</v>
      </c>
      <c r="I6" s="19" t="n">
        <f aca="false">IF($C6=32,1,IF($C6=31,2,T6-2))</f>
        <v>262142</v>
      </c>
      <c r="L6" s="20" t="n">
        <f aca="false">FIND(".",$B6)</f>
        <v>3</v>
      </c>
      <c r="M6" s="20" t="n">
        <f aca="false">FIND(".",$B6,L6+1)</f>
        <v>5</v>
      </c>
      <c r="N6" s="20" t="n">
        <f aca="false">FIND(".",$B6,M6+1)</f>
        <v>7</v>
      </c>
      <c r="O6" s="20" t="n">
        <f aca="false">VALUE(LEFT($B6,L6-1))</f>
        <v>10</v>
      </c>
      <c r="P6" s="20" t="n">
        <f aca="false">VALUE(MID($B6,L6+1,M6-L6-1))</f>
        <v>0</v>
      </c>
      <c r="Q6" s="20" t="n">
        <f aca="false">VALUE(MID($B6,M6+1,N6-M6-1))</f>
        <v>0</v>
      </c>
      <c r="R6" s="20" t="n">
        <f aca="false">VALUE(MID($B6,N6+1,LEN($B6)-N6))</f>
        <v>0</v>
      </c>
      <c r="S6" s="20" t="n">
        <f aca="false">O6*16777216+P6*65536+Q6*256+R6</f>
        <v>167772160</v>
      </c>
      <c r="T6" s="20" t="n">
        <f aca="false">POWER(2,32-$C6)</f>
        <v>262144</v>
      </c>
      <c r="U6" s="20" t="n">
        <f aca="false">S6-MOD(S6,T6)</f>
        <v>167772160</v>
      </c>
      <c r="V6" s="20" t="n">
        <f aca="false">U6+T6-1</f>
        <v>168034303</v>
      </c>
      <c r="W6" s="20" t="n">
        <f aca="false">POWER(2,32)-T6</f>
        <v>4294705152</v>
      </c>
      <c r="X6" s="20" t="n">
        <f aca="false">IF($C6&gt;=31,U6,U6+1)</f>
        <v>167772161</v>
      </c>
      <c r="Y6" s="20" t="n">
        <f aca="false">IF($C6=32,U6,IF($C6=31,V6,V6-1))</f>
        <v>168034302</v>
      </c>
    </row>
    <row r="7" customFormat="false" ht="15" hidden="false" customHeight="false" outlineLevel="0" collapsed="false">
      <c r="A7" s="18" t="s">
        <v>53</v>
      </c>
      <c r="B7" s="5" t="s">
        <v>54</v>
      </c>
      <c r="C7" s="5" t="n">
        <v>14</v>
      </c>
      <c r="D7" s="11" t="str">
        <f aca="false">INT(W7/16777216)&amp;"."&amp;INT(MOD(W7,16777216)/65536)&amp;"."&amp;INT(MOD(W7,65536)/256)&amp;"."&amp;MOD(W7,256)</f>
        <v>255.252.0.0</v>
      </c>
      <c r="E7" s="11" t="str">
        <f aca="false">INT(U7/16777216)&amp;"."&amp;INT(MOD(U7,16777216)/65536)&amp;"."&amp;INT(MOD(U7,65536)/256)&amp;"."&amp;MOD(U7,256)</f>
        <v>10.4.0.0</v>
      </c>
      <c r="F7" s="11" t="str">
        <f aca="false">INT(X7/16777216)&amp;"."&amp;INT(MOD(X7,16777216)/65536)&amp;"."&amp;INT(MOD(X7,65536)/256)&amp;"."&amp;MOD(X7,256)</f>
        <v>10.4.0.1</v>
      </c>
      <c r="G7" s="11" t="str">
        <f aca="false">INT(Y7/16777216)&amp;"."&amp;INT(MOD(Y7,16777216)/65536)&amp;"."&amp;INT(MOD(Y7,65536)/256)&amp;"."&amp;MOD(Y7,256)</f>
        <v>10.7.255.254</v>
      </c>
      <c r="H7" s="11" t="str">
        <f aca="false">IF($C7=32,"N/A",IF($C7=31,"N/A",INT(V7/16777216)&amp;"."&amp;INT(MOD(V7,16777216)/65536)&amp;"."&amp;INT(MOD(V7,65536)/256)&amp;"."&amp;MOD(V7,256)))</f>
        <v>10.7.255.255</v>
      </c>
      <c r="I7" s="19" t="n">
        <f aca="false">IF($C7=32,1,IF($C7=31,2,T7-2))</f>
        <v>262142</v>
      </c>
      <c r="L7" s="20" t="n">
        <f aca="false">FIND(".",$B7)</f>
        <v>3</v>
      </c>
      <c r="M7" s="20" t="n">
        <f aca="false">FIND(".",$B7,L7+1)</f>
        <v>5</v>
      </c>
      <c r="N7" s="20" t="n">
        <f aca="false">FIND(".",$B7,M7+1)</f>
        <v>7</v>
      </c>
      <c r="O7" s="20" t="n">
        <f aca="false">VALUE(LEFT($B7,L7-1))</f>
        <v>10</v>
      </c>
      <c r="P7" s="20" t="n">
        <f aca="false">VALUE(MID($B7,L7+1,M7-L7-1))</f>
        <v>4</v>
      </c>
      <c r="Q7" s="20" t="n">
        <f aca="false">VALUE(MID($B7,M7+1,N7-M7-1))</f>
        <v>0</v>
      </c>
      <c r="R7" s="20" t="n">
        <f aca="false">VALUE(MID($B7,N7+1,LEN($B7)-N7))</f>
        <v>0</v>
      </c>
      <c r="S7" s="20" t="n">
        <f aca="false">O7*16777216+P7*65536+Q7*256+R7</f>
        <v>168034304</v>
      </c>
      <c r="T7" s="20" t="n">
        <f aca="false">POWER(2,32-$C7)</f>
        <v>262144</v>
      </c>
      <c r="U7" s="20" t="n">
        <f aca="false">S7-MOD(S7,T7)</f>
        <v>168034304</v>
      </c>
      <c r="V7" s="20" t="n">
        <f aca="false">U7+T7-1</f>
        <v>168296447</v>
      </c>
      <c r="W7" s="20" t="n">
        <f aca="false">POWER(2,32)-T7</f>
        <v>4294705152</v>
      </c>
      <c r="X7" s="20" t="n">
        <f aca="false">IF($C7&gt;=31,U7,U7+1)</f>
        <v>168034305</v>
      </c>
      <c r="Y7" s="20" t="n">
        <f aca="false">IF($C7=32,U7,IF($C7=31,V7,V7-1))</f>
        <v>168296446</v>
      </c>
    </row>
    <row r="8" customFormat="false" ht="15" hidden="false" customHeight="false" outlineLevel="0" collapsed="false">
      <c r="A8" s="18" t="s">
        <v>55</v>
      </c>
      <c r="B8" s="5" t="s">
        <v>56</v>
      </c>
      <c r="C8" s="5" t="n">
        <v>14</v>
      </c>
      <c r="D8" s="11" t="str">
        <f aca="false">INT(W8/16777216)&amp;"."&amp;INT(MOD(W8,16777216)/65536)&amp;"."&amp;INT(MOD(W8,65536)/256)&amp;"."&amp;MOD(W8,256)</f>
        <v>255.252.0.0</v>
      </c>
      <c r="E8" s="11" t="str">
        <f aca="false">INT(U8/16777216)&amp;"."&amp;INT(MOD(U8,16777216)/65536)&amp;"."&amp;INT(MOD(U8,65536)/256)&amp;"."&amp;MOD(U8,256)</f>
        <v>10.8.0.0</v>
      </c>
      <c r="F8" s="11" t="str">
        <f aca="false">INT(X8/16777216)&amp;"."&amp;INT(MOD(X8,16777216)/65536)&amp;"."&amp;INT(MOD(X8,65536)/256)&amp;"."&amp;MOD(X8,256)</f>
        <v>10.8.0.1</v>
      </c>
      <c r="G8" s="11" t="str">
        <f aca="false">INT(Y8/16777216)&amp;"."&amp;INT(MOD(Y8,16777216)/65536)&amp;"."&amp;INT(MOD(Y8,65536)/256)&amp;"."&amp;MOD(Y8,256)</f>
        <v>10.11.255.254</v>
      </c>
      <c r="H8" s="11" t="str">
        <f aca="false">IF($C8=32,"N/A",IF($C8=31,"N/A",INT(V8/16777216)&amp;"."&amp;INT(MOD(V8,16777216)/65536)&amp;"."&amp;INT(MOD(V8,65536)/256)&amp;"."&amp;MOD(V8,256)))</f>
        <v>10.11.255.255</v>
      </c>
      <c r="I8" s="19" t="n">
        <f aca="false">IF($C8=32,1,IF($C8=31,2,T8-2))</f>
        <v>262142</v>
      </c>
      <c r="L8" s="20" t="n">
        <f aca="false">FIND(".",$B8)</f>
        <v>3</v>
      </c>
      <c r="M8" s="20" t="n">
        <f aca="false">FIND(".",$B8,L8+1)</f>
        <v>5</v>
      </c>
      <c r="N8" s="20" t="n">
        <f aca="false">FIND(".",$B8,M8+1)</f>
        <v>7</v>
      </c>
      <c r="O8" s="20" t="n">
        <f aca="false">VALUE(LEFT($B8,L8-1))</f>
        <v>10</v>
      </c>
      <c r="P8" s="20" t="n">
        <f aca="false">VALUE(MID($B8,L8+1,M8-L8-1))</f>
        <v>8</v>
      </c>
      <c r="Q8" s="20" t="n">
        <f aca="false">VALUE(MID($B8,M8+1,N8-M8-1))</f>
        <v>0</v>
      </c>
      <c r="R8" s="20" t="n">
        <f aca="false">VALUE(MID($B8,N8+1,LEN($B8)-N8))</f>
        <v>0</v>
      </c>
      <c r="S8" s="20" t="n">
        <f aca="false">O8*16777216+P8*65536+Q8*256+R8</f>
        <v>168296448</v>
      </c>
      <c r="T8" s="20" t="n">
        <f aca="false">POWER(2,32-$C8)</f>
        <v>262144</v>
      </c>
      <c r="U8" s="20" t="n">
        <f aca="false">S8-MOD(S8,T8)</f>
        <v>168296448</v>
      </c>
      <c r="V8" s="20" t="n">
        <f aca="false">U8+T8-1</f>
        <v>168558591</v>
      </c>
      <c r="W8" s="20" t="n">
        <f aca="false">POWER(2,32)-T8</f>
        <v>4294705152</v>
      </c>
      <c r="X8" s="20" t="n">
        <f aca="false">IF($C8&gt;=31,U8,U8+1)</f>
        <v>168296449</v>
      </c>
      <c r="Y8" s="20" t="n">
        <f aca="false">IF($C8=32,U8,IF($C8=31,V8,V8-1))</f>
        <v>168558590</v>
      </c>
    </row>
    <row r="9" customFormat="false" ht="15" hidden="false" customHeight="false" outlineLevel="0" collapsed="false">
      <c r="A9" s="18" t="s">
        <v>57</v>
      </c>
      <c r="B9" s="5" t="s">
        <v>58</v>
      </c>
      <c r="C9" s="5" t="n">
        <v>14</v>
      </c>
      <c r="D9" s="11" t="str">
        <f aca="false">INT(W9/16777216)&amp;"."&amp;INT(MOD(W9,16777216)/65536)&amp;"."&amp;INT(MOD(W9,65536)/256)&amp;"."&amp;MOD(W9,256)</f>
        <v>255.252.0.0</v>
      </c>
      <c r="E9" s="11" t="str">
        <f aca="false">INT(U9/16777216)&amp;"."&amp;INT(MOD(U9,16777216)/65536)&amp;"."&amp;INT(MOD(U9,65536)/256)&amp;"."&amp;MOD(U9,256)</f>
        <v>10.12.0.0</v>
      </c>
      <c r="F9" s="11" t="str">
        <f aca="false">INT(X9/16777216)&amp;"."&amp;INT(MOD(X9,16777216)/65536)&amp;"."&amp;INT(MOD(X9,65536)/256)&amp;"."&amp;MOD(X9,256)</f>
        <v>10.12.0.1</v>
      </c>
      <c r="G9" s="11" t="str">
        <f aca="false">INT(Y9/16777216)&amp;"."&amp;INT(MOD(Y9,16777216)/65536)&amp;"."&amp;INT(MOD(Y9,65536)/256)&amp;"."&amp;MOD(Y9,256)</f>
        <v>10.15.255.254</v>
      </c>
      <c r="H9" s="11" t="str">
        <f aca="false">IF($C9=32,"N/A",IF($C9=31,"N/A",INT(V9/16777216)&amp;"."&amp;INT(MOD(V9,16777216)/65536)&amp;"."&amp;INT(MOD(V9,65536)/256)&amp;"."&amp;MOD(V9,256)))</f>
        <v>10.15.255.255</v>
      </c>
      <c r="I9" s="19" t="n">
        <f aca="false">IF($C9=32,1,IF($C9=31,2,T9-2))</f>
        <v>262142</v>
      </c>
      <c r="L9" s="20" t="n">
        <f aca="false">FIND(".",$B9)</f>
        <v>3</v>
      </c>
      <c r="M9" s="20" t="n">
        <f aca="false">FIND(".",$B9,L9+1)</f>
        <v>6</v>
      </c>
      <c r="N9" s="20" t="n">
        <f aca="false">FIND(".",$B9,M9+1)</f>
        <v>8</v>
      </c>
      <c r="O9" s="20" t="n">
        <f aca="false">VALUE(LEFT($B9,L9-1))</f>
        <v>10</v>
      </c>
      <c r="P9" s="20" t="n">
        <f aca="false">VALUE(MID($B9,L9+1,M9-L9-1))</f>
        <v>12</v>
      </c>
      <c r="Q9" s="20" t="n">
        <f aca="false">VALUE(MID($B9,M9+1,N9-M9-1))</f>
        <v>0</v>
      </c>
      <c r="R9" s="20" t="n">
        <f aca="false">VALUE(MID($B9,N9+1,LEN($B9)-N9))</f>
        <v>0</v>
      </c>
      <c r="S9" s="20" t="n">
        <f aca="false">O9*16777216+P9*65536+Q9*256+R9</f>
        <v>168558592</v>
      </c>
      <c r="T9" s="20" t="n">
        <f aca="false">POWER(2,32-$C9)</f>
        <v>262144</v>
      </c>
      <c r="U9" s="20" t="n">
        <f aca="false">S9-MOD(S9,T9)</f>
        <v>168558592</v>
      </c>
      <c r="V9" s="20" t="n">
        <f aca="false">U9+T9-1</f>
        <v>168820735</v>
      </c>
      <c r="W9" s="20" t="n">
        <f aca="false">POWER(2,32)-T9</f>
        <v>4294705152</v>
      </c>
      <c r="X9" s="20" t="n">
        <f aca="false">IF($C9&gt;=31,U9,U9+1)</f>
        <v>168558593</v>
      </c>
      <c r="Y9" s="20" t="n">
        <f aca="false">IF($C9=32,U9,IF($C9=31,V9,V9-1))</f>
        <v>168820734</v>
      </c>
    </row>
    <row r="10" customFormat="false" ht="15" hidden="false" customHeight="false" outlineLevel="0" collapsed="false">
      <c r="A10" s="18" t="s">
        <v>59</v>
      </c>
      <c r="B10" s="5" t="s">
        <v>60</v>
      </c>
      <c r="C10" s="5" t="n">
        <v>14</v>
      </c>
      <c r="D10" s="11" t="str">
        <f aca="false">INT(W10/16777216)&amp;"."&amp;INT(MOD(W10,16777216)/65536)&amp;"."&amp;INT(MOD(W10,65536)/256)&amp;"."&amp;MOD(W10,256)</f>
        <v>255.252.0.0</v>
      </c>
      <c r="E10" s="11" t="str">
        <f aca="false">INT(U10/16777216)&amp;"."&amp;INT(MOD(U10,16777216)/65536)&amp;"."&amp;INT(MOD(U10,65536)/256)&amp;"."&amp;MOD(U10,256)</f>
        <v>10.16.0.0</v>
      </c>
      <c r="F10" s="11" t="str">
        <f aca="false">INT(X10/16777216)&amp;"."&amp;INT(MOD(X10,16777216)/65536)&amp;"."&amp;INT(MOD(X10,65536)/256)&amp;"."&amp;MOD(X10,256)</f>
        <v>10.16.0.1</v>
      </c>
      <c r="G10" s="11" t="str">
        <f aca="false">INT(Y10/16777216)&amp;"."&amp;INT(MOD(Y10,16777216)/65536)&amp;"."&amp;INT(MOD(Y10,65536)/256)&amp;"."&amp;MOD(Y10,256)</f>
        <v>10.19.255.254</v>
      </c>
      <c r="H10" s="11" t="str">
        <f aca="false">IF($C10=32,"N/A",IF($C10=31,"N/A",INT(V10/16777216)&amp;"."&amp;INT(MOD(V10,16777216)/65536)&amp;"."&amp;INT(MOD(V10,65536)/256)&amp;"."&amp;MOD(V10,256)))</f>
        <v>10.19.255.255</v>
      </c>
      <c r="I10" s="19" t="n">
        <f aca="false">IF($C10=32,1,IF($C10=31,2,T10-2))</f>
        <v>262142</v>
      </c>
      <c r="L10" s="20" t="n">
        <f aca="false">FIND(".",$B10)</f>
        <v>3</v>
      </c>
      <c r="M10" s="20" t="n">
        <f aca="false">FIND(".",$B10,L10+1)</f>
        <v>6</v>
      </c>
      <c r="N10" s="20" t="n">
        <f aca="false">FIND(".",$B10,M10+1)</f>
        <v>8</v>
      </c>
      <c r="O10" s="20" t="n">
        <f aca="false">VALUE(LEFT($B10,L10-1))</f>
        <v>10</v>
      </c>
      <c r="P10" s="20" t="n">
        <f aca="false">VALUE(MID($B10,L10+1,M10-L10-1))</f>
        <v>16</v>
      </c>
      <c r="Q10" s="20" t="n">
        <f aca="false">VALUE(MID($B10,M10+1,N10-M10-1))</f>
        <v>0</v>
      </c>
      <c r="R10" s="20" t="n">
        <f aca="false">VALUE(MID($B10,N10+1,LEN($B10)-N10))</f>
        <v>0</v>
      </c>
      <c r="S10" s="20" t="n">
        <f aca="false">O10*16777216+P10*65536+Q10*256+R10</f>
        <v>168820736</v>
      </c>
      <c r="T10" s="20" t="n">
        <f aca="false">POWER(2,32-$C10)</f>
        <v>262144</v>
      </c>
      <c r="U10" s="20" t="n">
        <f aca="false">S10-MOD(S10,T10)</f>
        <v>168820736</v>
      </c>
      <c r="V10" s="20" t="n">
        <f aca="false">U10+T10-1</f>
        <v>169082879</v>
      </c>
      <c r="W10" s="20" t="n">
        <f aca="false">POWER(2,32)-T10</f>
        <v>4294705152</v>
      </c>
      <c r="X10" s="20" t="n">
        <f aca="false">IF($C10&gt;=31,U10,U10+1)</f>
        <v>168820737</v>
      </c>
      <c r="Y10" s="20" t="n">
        <f aca="false">IF($C10=32,U10,IF($C10=31,V10,V10-1))</f>
        <v>169082878</v>
      </c>
    </row>
    <row r="11" customFormat="false" ht="15" hidden="false" customHeight="false" outlineLevel="0" collapsed="false">
      <c r="A11" s="18" t="s">
        <v>61</v>
      </c>
      <c r="B11" s="5" t="s">
        <v>62</v>
      </c>
      <c r="C11" s="5" t="n">
        <v>14</v>
      </c>
      <c r="D11" s="11" t="str">
        <f aca="false">INT(W11/16777216)&amp;"."&amp;INT(MOD(W11,16777216)/65536)&amp;"."&amp;INT(MOD(W11,65536)/256)&amp;"."&amp;MOD(W11,256)</f>
        <v>255.252.0.0</v>
      </c>
      <c r="E11" s="11" t="str">
        <f aca="false">INT(U11/16777216)&amp;"."&amp;INT(MOD(U11,16777216)/65536)&amp;"."&amp;INT(MOD(U11,65536)/256)&amp;"."&amp;MOD(U11,256)</f>
        <v>10.20.0.0</v>
      </c>
      <c r="F11" s="11" t="str">
        <f aca="false">INT(X11/16777216)&amp;"."&amp;INT(MOD(X11,16777216)/65536)&amp;"."&amp;INT(MOD(X11,65536)/256)&amp;"."&amp;MOD(X11,256)</f>
        <v>10.20.0.1</v>
      </c>
      <c r="G11" s="11" t="str">
        <f aca="false">INT(Y11/16777216)&amp;"."&amp;INT(MOD(Y11,16777216)/65536)&amp;"."&amp;INT(MOD(Y11,65536)/256)&amp;"."&amp;MOD(Y11,256)</f>
        <v>10.23.255.254</v>
      </c>
      <c r="H11" s="11" t="str">
        <f aca="false">IF($C11=32,"N/A",IF($C11=31,"N/A",INT(V11/16777216)&amp;"."&amp;INT(MOD(V11,16777216)/65536)&amp;"."&amp;INT(MOD(V11,65536)/256)&amp;"."&amp;MOD(V11,256)))</f>
        <v>10.23.255.255</v>
      </c>
      <c r="I11" s="19" t="n">
        <f aca="false">IF($C11=32,1,IF($C11=31,2,T11-2))</f>
        <v>262142</v>
      </c>
      <c r="L11" s="20" t="n">
        <f aca="false">FIND(".",$B11)</f>
        <v>3</v>
      </c>
      <c r="M11" s="20" t="n">
        <f aca="false">FIND(".",$B11,L11+1)</f>
        <v>6</v>
      </c>
      <c r="N11" s="20" t="n">
        <f aca="false">FIND(".",$B11,M11+1)</f>
        <v>8</v>
      </c>
      <c r="O11" s="20" t="n">
        <f aca="false">VALUE(LEFT($B11,L11-1))</f>
        <v>10</v>
      </c>
      <c r="P11" s="20" t="n">
        <f aca="false">VALUE(MID($B11,L11+1,M11-L11-1))</f>
        <v>20</v>
      </c>
      <c r="Q11" s="20" t="n">
        <f aca="false">VALUE(MID($B11,M11+1,N11-M11-1))</f>
        <v>0</v>
      </c>
      <c r="R11" s="20" t="n">
        <f aca="false">VALUE(MID($B11,N11+1,LEN($B11)-N11))</f>
        <v>0</v>
      </c>
      <c r="S11" s="20" t="n">
        <f aca="false">O11*16777216+P11*65536+Q11*256+R11</f>
        <v>169082880</v>
      </c>
      <c r="T11" s="20" t="n">
        <f aca="false">POWER(2,32-$C11)</f>
        <v>262144</v>
      </c>
      <c r="U11" s="20" t="n">
        <f aca="false">S11-MOD(S11,T11)</f>
        <v>169082880</v>
      </c>
      <c r="V11" s="20" t="n">
        <f aca="false">U11+T11-1</f>
        <v>169345023</v>
      </c>
      <c r="W11" s="20" t="n">
        <f aca="false">POWER(2,32)-T11</f>
        <v>4294705152</v>
      </c>
      <c r="X11" s="20" t="n">
        <f aca="false">IF($C11&gt;=31,U11,U11+1)</f>
        <v>169082881</v>
      </c>
      <c r="Y11" s="20" t="n">
        <f aca="false">IF($C11=32,U11,IF($C11=31,V11,V11-1))</f>
        <v>169345022</v>
      </c>
    </row>
    <row r="12" customFormat="false" ht="15" hidden="false" customHeight="false" outlineLevel="0" collapsed="false">
      <c r="A12" s="18" t="s">
        <v>63</v>
      </c>
      <c r="B12" s="5" t="s">
        <v>4</v>
      </c>
      <c r="C12" s="5" t="n">
        <v>13</v>
      </c>
      <c r="D12" s="11" t="str">
        <f aca="false">INT(W12/16777216)&amp;"."&amp;INT(MOD(W12,16777216)/65536)&amp;"."&amp;INT(MOD(W12,65536)/256)&amp;"."&amp;MOD(W12,256)</f>
        <v>255.248.0.0</v>
      </c>
      <c r="E12" s="11" t="str">
        <f aca="false">INT(U12/16777216)&amp;"."&amp;INT(MOD(U12,16777216)/65536)&amp;"."&amp;INT(MOD(U12,65536)/256)&amp;"."&amp;MOD(U12,256)</f>
        <v>10.0.0.0</v>
      </c>
      <c r="F12" s="11" t="str">
        <f aca="false">INT(X12/16777216)&amp;"."&amp;INT(MOD(X12,16777216)/65536)&amp;"."&amp;INT(MOD(X12,65536)/256)&amp;"."&amp;MOD(X12,256)</f>
        <v>10.0.0.1</v>
      </c>
      <c r="G12" s="11" t="str">
        <f aca="false">INT(Y12/16777216)&amp;"."&amp;INT(MOD(Y12,16777216)/65536)&amp;"."&amp;INT(MOD(Y12,65536)/256)&amp;"."&amp;MOD(Y12,256)</f>
        <v>10.7.255.254</v>
      </c>
      <c r="H12" s="11" t="str">
        <f aca="false">IF($C12=32,"N/A",IF($C12=31,"N/A",INT(V12/16777216)&amp;"."&amp;INT(MOD(V12,16777216)/65536)&amp;"."&amp;INT(MOD(V12,65536)/256)&amp;"."&amp;MOD(V12,256)))</f>
        <v>10.7.255.255</v>
      </c>
      <c r="I12" s="19" t="n">
        <f aca="false">IF($C12=32,1,IF($C12=31,2,T12-2))</f>
        <v>524286</v>
      </c>
      <c r="L12" s="20" t="n">
        <f aca="false">FIND(".",$B12)</f>
        <v>3</v>
      </c>
      <c r="M12" s="20" t="n">
        <f aca="false">FIND(".",$B12,L12+1)</f>
        <v>5</v>
      </c>
      <c r="N12" s="20" t="n">
        <f aca="false">FIND(".",$B12,M12+1)</f>
        <v>7</v>
      </c>
      <c r="O12" s="20" t="n">
        <f aca="false">VALUE(LEFT($B12,L12-1))</f>
        <v>10</v>
      </c>
      <c r="P12" s="20" t="n">
        <f aca="false">VALUE(MID($B12,L12+1,M12-L12-1))</f>
        <v>0</v>
      </c>
      <c r="Q12" s="20" t="n">
        <f aca="false">VALUE(MID($B12,M12+1,N12-M12-1))</f>
        <v>0</v>
      </c>
      <c r="R12" s="20" t="n">
        <f aca="false">VALUE(MID($B12,N12+1,LEN($B12)-N12))</f>
        <v>0</v>
      </c>
      <c r="S12" s="20" t="n">
        <f aca="false">O12*16777216+P12*65536+Q12*256+R12</f>
        <v>167772160</v>
      </c>
      <c r="T12" s="20" t="n">
        <f aca="false">POWER(2,32-$C12)</f>
        <v>524288</v>
      </c>
      <c r="U12" s="20" t="n">
        <f aca="false">S12-MOD(S12,T12)</f>
        <v>167772160</v>
      </c>
      <c r="V12" s="20" t="n">
        <f aca="false">U12+T12-1</f>
        <v>168296447</v>
      </c>
      <c r="W12" s="20" t="n">
        <f aca="false">POWER(2,32)-T12</f>
        <v>4294443008</v>
      </c>
      <c r="X12" s="20" t="n">
        <f aca="false">IF($C12&gt;=31,U12,U12+1)</f>
        <v>167772161</v>
      </c>
      <c r="Y12" s="20" t="n">
        <f aca="false">IF($C12=32,U12,IF($C12=31,V12,V12-1))</f>
        <v>168296446</v>
      </c>
    </row>
    <row r="13" customFormat="false" ht="21.75" hidden="false" customHeight="true" outlineLevel="0" collapsed="false">
      <c r="A13" s="3" t="s">
        <v>64</v>
      </c>
      <c r="B13" s="3"/>
      <c r="C13" s="3"/>
      <c r="D13" s="3"/>
      <c r="E13" s="3"/>
      <c r="F13" s="3"/>
      <c r="G13" s="3"/>
      <c r="H13" s="3"/>
      <c r="I13" s="3"/>
    </row>
    <row r="14" customFormat="false" ht="15" hidden="false" customHeight="false" outlineLevel="0" collapsed="false">
      <c r="A14" s="18" t="s">
        <v>65</v>
      </c>
      <c r="B14" s="5" t="s">
        <v>66</v>
      </c>
      <c r="C14" s="5" t="n">
        <v>21</v>
      </c>
      <c r="D14" s="11" t="str">
        <f aca="false">INT(W14/16777216)&amp;"."&amp;INT(MOD(W14,16777216)/65536)&amp;"."&amp;INT(MOD(W14,65536)/256)&amp;"."&amp;MOD(W14,256)</f>
        <v>255.255.248.0</v>
      </c>
      <c r="E14" s="11" t="str">
        <f aca="false">INT(U14/16777216)&amp;"."&amp;INT(MOD(U14,16777216)/65536)&amp;"."&amp;INT(MOD(U14,65536)/256)&amp;"."&amp;MOD(U14,256)</f>
        <v>172.16.0.0</v>
      </c>
      <c r="F14" s="11" t="str">
        <f aca="false">INT(X14/16777216)&amp;"."&amp;INT(MOD(X14,16777216)/65536)&amp;"."&amp;INT(MOD(X14,65536)/256)&amp;"."&amp;MOD(X14,256)</f>
        <v>172.16.0.1</v>
      </c>
      <c r="G14" s="11" t="str">
        <f aca="false">INT(Y14/16777216)&amp;"."&amp;INT(MOD(Y14,16777216)/65536)&amp;"."&amp;INT(MOD(Y14,65536)/256)&amp;"."&amp;MOD(Y14,256)</f>
        <v>172.16.7.254</v>
      </c>
      <c r="H14" s="11" t="str">
        <f aca="false">IF($C14=32,"N/A",IF($C14=31,"N/A",INT(V14/16777216)&amp;"."&amp;INT(MOD(V14,16777216)/65536)&amp;"."&amp;INT(MOD(V14,65536)/256)&amp;"."&amp;MOD(V14,256)))</f>
        <v>172.16.7.255</v>
      </c>
      <c r="I14" s="19" t="n">
        <f aca="false">IF($C14=32,1,IF($C14=31,2,T14-2))</f>
        <v>2046</v>
      </c>
      <c r="L14" s="20" t="n">
        <f aca="false">FIND(".",$B14)</f>
        <v>4</v>
      </c>
      <c r="M14" s="20" t="n">
        <f aca="false">FIND(".",$B14,L14+1)</f>
        <v>7</v>
      </c>
      <c r="N14" s="20" t="n">
        <f aca="false">FIND(".",$B14,M14+1)</f>
        <v>9</v>
      </c>
      <c r="O14" s="20" t="n">
        <f aca="false">VALUE(LEFT($B14,L14-1))</f>
        <v>172</v>
      </c>
      <c r="P14" s="20" t="n">
        <f aca="false">VALUE(MID($B14,L14+1,M14-L14-1))</f>
        <v>16</v>
      </c>
      <c r="Q14" s="20" t="n">
        <f aca="false">VALUE(MID($B14,M14+1,N14-M14-1))</f>
        <v>0</v>
      </c>
      <c r="R14" s="20" t="n">
        <f aca="false">VALUE(MID($B14,N14+1,LEN($B14)-N14))</f>
        <v>0</v>
      </c>
      <c r="S14" s="20" t="n">
        <f aca="false">O14*16777216+P14*65536+Q14*256+R14</f>
        <v>2886729728</v>
      </c>
      <c r="T14" s="20" t="n">
        <f aca="false">POWER(2,32-$C14)</f>
        <v>2048</v>
      </c>
      <c r="U14" s="20" t="n">
        <f aca="false">S14-MOD(S14,T14)</f>
        <v>2886729728</v>
      </c>
      <c r="V14" s="20" t="n">
        <f aca="false">U14+T14-1</f>
        <v>2886731775</v>
      </c>
      <c r="W14" s="20" t="n">
        <f aca="false">POWER(2,32)-T14</f>
        <v>4294965248</v>
      </c>
      <c r="X14" s="20" t="n">
        <f aca="false">IF($C14&gt;=31,U14,U14+1)</f>
        <v>2886729729</v>
      </c>
      <c r="Y14" s="20" t="n">
        <f aca="false">IF($C14=32,U14,IF($C14=31,V14,V14-1))</f>
        <v>2886731774</v>
      </c>
    </row>
    <row r="15" customFormat="false" ht="15" hidden="false" customHeight="false" outlineLevel="0" collapsed="false">
      <c r="A15" s="18" t="s">
        <v>67</v>
      </c>
      <c r="B15" s="5" t="s">
        <v>68</v>
      </c>
      <c r="C15" s="5" t="n">
        <v>21</v>
      </c>
      <c r="D15" s="11" t="str">
        <f aca="false">INT(W15/16777216)&amp;"."&amp;INT(MOD(W15,16777216)/65536)&amp;"."&amp;INT(MOD(W15,65536)/256)&amp;"."&amp;MOD(W15,256)</f>
        <v>255.255.248.0</v>
      </c>
      <c r="E15" s="11" t="str">
        <f aca="false">INT(U15/16777216)&amp;"."&amp;INT(MOD(U15,16777216)/65536)&amp;"."&amp;INT(MOD(U15,65536)/256)&amp;"."&amp;MOD(U15,256)</f>
        <v>172.16.8.0</v>
      </c>
      <c r="F15" s="11" t="str">
        <f aca="false">INT(X15/16777216)&amp;"."&amp;INT(MOD(X15,16777216)/65536)&amp;"."&amp;INT(MOD(X15,65536)/256)&amp;"."&amp;MOD(X15,256)</f>
        <v>172.16.8.1</v>
      </c>
      <c r="G15" s="11" t="str">
        <f aca="false">INT(Y15/16777216)&amp;"."&amp;INT(MOD(Y15,16777216)/65536)&amp;"."&amp;INT(MOD(Y15,65536)/256)&amp;"."&amp;MOD(Y15,256)</f>
        <v>172.16.15.254</v>
      </c>
      <c r="H15" s="11" t="str">
        <f aca="false">IF($C15=32,"N/A",IF($C15=31,"N/A",INT(V15/16777216)&amp;"."&amp;INT(MOD(V15,16777216)/65536)&amp;"."&amp;INT(MOD(V15,65536)/256)&amp;"."&amp;MOD(V15,256)))</f>
        <v>172.16.15.255</v>
      </c>
      <c r="I15" s="19" t="n">
        <f aca="false">IF($C15=32,1,IF($C15=31,2,T15-2))</f>
        <v>2046</v>
      </c>
      <c r="L15" s="20" t="n">
        <f aca="false">FIND(".",$B15)</f>
        <v>4</v>
      </c>
      <c r="M15" s="20" t="n">
        <f aca="false">FIND(".",$B15,L15+1)</f>
        <v>7</v>
      </c>
      <c r="N15" s="20" t="n">
        <f aca="false">FIND(".",$B15,M15+1)</f>
        <v>9</v>
      </c>
      <c r="O15" s="20" t="n">
        <f aca="false">VALUE(LEFT($B15,L15-1))</f>
        <v>172</v>
      </c>
      <c r="P15" s="20" t="n">
        <f aca="false">VALUE(MID($B15,L15+1,M15-L15-1))</f>
        <v>16</v>
      </c>
      <c r="Q15" s="20" t="n">
        <f aca="false">VALUE(MID($B15,M15+1,N15-M15-1))</f>
        <v>8</v>
      </c>
      <c r="R15" s="20" t="n">
        <f aca="false">VALUE(MID($B15,N15+1,LEN($B15)-N15))</f>
        <v>0</v>
      </c>
      <c r="S15" s="20" t="n">
        <f aca="false">O15*16777216+P15*65536+Q15*256+R15</f>
        <v>2886731776</v>
      </c>
      <c r="T15" s="20" t="n">
        <f aca="false">POWER(2,32-$C15)</f>
        <v>2048</v>
      </c>
      <c r="U15" s="20" t="n">
        <f aca="false">S15-MOD(S15,T15)</f>
        <v>2886731776</v>
      </c>
      <c r="V15" s="20" t="n">
        <f aca="false">U15+T15-1</f>
        <v>2886733823</v>
      </c>
      <c r="W15" s="20" t="n">
        <f aca="false">POWER(2,32)-T15</f>
        <v>4294965248</v>
      </c>
      <c r="X15" s="20" t="n">
        <f aca="false">IF($C15&gt;=31,U15,U15+1)</f>
        <v>2886731777</v>
      </c>
      <c r="Y15" s="20" t="n">
        <f aca="false">IF($C15=32,U15,IF($C15=31,V15,V15-1))</f>
        <v>2886733822</v>
      </c>
    </row>
    <row r="16" customFormat="false" ht="15" hidden="false" customHeight="false" outlineLevel="0" collapsed="false">
      <c r="A16" s="18" t="s">
        <v>69</v>
      </c>
      <c r="B16" s="5" t="s">
        <v>70</v>
      </c>
      <c r="C16" s="5" t="n">
        <v>21</v>
      </c>
      <c r="D16" s="11" t="str">
        <f aca="false">INT(W16/16777216)&amp;"."&amp;INT(MOD(W16,16777216)/65536)&amp;"."&amp;INT(MOD(W16,65536)/256)&amp;"."&amp;MOD(W16,256)</f>
        <v>255.255.248.0</v>
      </c>
      <c r="E16" s="11" t="str">
        <f aca="false">INT(U16/16777216)&amp;"."&amp;INT(MOD(U16,16777216)/65536)&amp;"."&amp;INT(MOD(U16,65536)/256)&amp;"."&amp;MOD(U16,256)</f>
        <v>172.16.16.0</v>
      </c>
      <c r="F16" s="11" t="str">
        <f aca="false">INT(X16/16777216)&amp;"."&amp;INT(MOD(X16,16777216)/65536)&amp;"."&amp;INT(MOD(X16,65536)/256)&amp;"."&amp;MOD(X16,256)</f>
        <v>172.16.16.1</v>
      </c>
      <c r="G16" s="11" t="str">
        <f aca="false">INT(Y16/16777216)&amp;"."&amp;INT(MOD(Y16,16777216)/65536)&amp;"."&amp;INT(MOD(Y16,65536)/256)&amp;"."&amp;MOD(Y16,256)</f>
        <v>172.16.23.254</v>
      </c>
      <c r="H16" s="11" t="str">
        <f aca="false">IF($C16=32,"N/A",IF($C16=31,"N/A",INT(V16/16777216)&amp;"."&amp;INT(MOD(V16,16777216)/65536)&amp;"."&amp;INT(MOD(V16,65536)/256)&amp;"."&amp;MOD(V16,256)))</f>
        <v>172.16.23.255</v>
      </c>
      <c r="I16" s="19" t="n">
        <f aca="false">IF($C16=32,1,IF($C16=31,2,T16-2))</f>
        <v>2046</v>
      </c>
      <c r="L16" s="20" t="n">
        <f aca="false">FIND(".",$B16)</f>
        <v>4</v>
      </c>
      <c r="M16" s="20" t="n">
        <f aca="false">FIND(".",$B16,L16+1)</f>
        <v>7</v>
      </c>
      <c r="N16" s="20" t="n">
        <f aca="false">FIND(".",$B16,M16+1)</f>
        <v>10</v>
      </c>
      <c r="O16" s="20" t="n">
        <f aca="false">VALUE(LEFT($B16,L16-1))</f>
        <v>172</v>
      </c>
      <c r="P16" s="20" t="n">
        <f aca="false">VALUE(MID($B16,L16+1,M16-L16-1))</f>
        <v>16</v>
      </c>
      <c r="Q16" s="20" t="n">
        <f aca="false">VALUE(MID($B16,M16+1,N16-M16-1))</f>
        <v>16</v>
      </c>
      <c r="R16" s="20" t="n">
        <f aca="false">VALUE(MID($B16,N16+1,LEN($B16)-N16))</f>
        <v>0</v>
      </c>
      <c r="S16" s="20" t="n">
        <f aca="false">O16*16777216+P16*65536+Q16*256+R16</f>
        <v>2886733824</v>
      </c>
      <c r="T16" s="20" t="n">
        <f aca="false">POWER(2,32-$C16)</f>
        <v>2048</v>
      </c>
      <c r="U16" s="20" t="n">
        <f aca="false">S16-MOD(S16,T16)</f>
        <v>2886733824</v>
      </c>
      <c r="V16" s="20" t="n">
        <f aca="false">U16+T16-1</f>
        <v>2886735871</v>
      </c>
      <c r="W16" s="20" t="n">
        <f aca="false">POWER(2,32)-T16</f>
        <v>4294965248</v>
      </c>
      <c r="X16" s="20" t="n">
        <f aca="false">IF($C16&gt;=31,U16,U16+1)</f>
        <v>2886733825</v>
      </c>
      <c r="Y16" s="20" t="n">
        <f aca="false">IF($C16=32,U16,IF($C16=31,V16,V16-1))</f>
        <v>2886735870</v>
      </c>
    </row>
    <row r="17" customFormat="false" ht="15" hidden="false" customHeight="false" outlineLevel="0" collapsed="false">
      <c r="A17" s="18" t="s">
        <v>71</v>
      </c>
      <c r="B17" s="5" t="s">
        <v>72</v>
      </c>
      <c r="C17" s="5" t="n">
        <v>21</v>
      </c>
      <c r="D17" s="11" t="str">
        <f aca="false">INT(W17/16777216)&amp;"."&amp;INT(MOD(W17,16777216)/65536)&amp;"."&amp;INT(MOD(W17,65536)/256)&amp;"."&amp;MOD(W17,256)</f>
        <v>255.255.248.0</v>
      </c>
      <c r="E17" s="11" t="str">
        <f aca="false">INT(U17/16777216)&amp;"."&amp;INT(MOD(U17,16777216)/65536)&amp;"."&amp;INT(MOD(U17,65536)/256)&amp;"."&amp;MOD(U17,256)</f>
        <v>172.16.24.0</v>
      </c>
      <c r="F17" s="11" t="str">
        <f aca="false">INT(X17/16777216)&amp;"."&amp;INT(MOD(X17,16777216)/65536)&amp;"."&amp;INT(MOD(X17,65536)/256)&amp;"."&amp;MOD(X17,256)</f>
        <v>172.16.24.1</v>
      </c>
      <c r="G17" s="11" t="str">
        <f aca="false">INT(Y17/16777216)&amp;"."&amp;INT(MOD(Y17,16777216)/65536)&amp;"."&amp;INT(MOD(Y17,65536)/256)&amp;"."&amp;MOD(Y17,256)</f>
        <v>172.16.31.254</v>
      </c>
      <c r="H17" s="11" t="str">
        <f aca="false">IF($C17=32,"N/A",IF($C17=31,"N/A",INT(V17/16777216)&amp;"."&amp;INT(MOD(V17,16777216)/65536)&amp;"."&amp;INT(MOD(V17,65536)/256)&amp;"."&amp;MOD(V17,256)))</f>
        <v>172.16.31.255</v>
      </c>
      <c r="I17" s="19" t="n">
        <f aca="false">IF($C17=32,1,IF($C17=31,2,T17-2))</f>
        <v>2046</v>
      </c>
      <c r="L17" s="20" t="n">
        <f aca="false">FIND(".",$B17)</f>
        <v>4</v>
      </c>
      <c r="M17" s="20" t="n">
        <f aca="false">FIND(".",$B17,L17+1)</f>
        <v>7</v>
      </c>
      <c r="N17" s="20" t="n">
        <f aca="false">FIND(".",$B17,M17+1)</f>
        <v>10</v>
      </c>
      <c r="O17" s="20" t="n">
        <f aca="false">VALUE(LEFT($B17,L17-1))</f>
        <v>172</v>
      </c>
      <c r="P17" s="20" t="n">
        <f aca="false">VALUE(MID($B17,L17+1,M17-L17-1))</f>
        <v>16</v>
      </c>
      <c r="Q17" s="20" t="n">
        <f aca="false">VALUE(MID($B17,M17+1,N17-M17-1))</f>
        <v>24</v>
      </c>
      <c r="R17" s="20" t="n">
        <f aca="false">VALUE(MID($B17,N17+1,LEN($B17)-N17))</f>
        <v>0</v>
      </c>
      <c r="S17" s="20" t="n">
        <f aca="false">O17*16777216+P17*65536+Q17*256+R17</f>
        <v>2886735872</v>
      </c>
      <c r="T17" s="20" t="n">
        <f aca="false">POWER(2,32-$C17)</f>
        <v>2048</v>
      </c>
      <c r="U17" s="20" t="n">
        <f aca="false">S17-MOD(S17,T17)</f>
        <v>2886735872</v>
      </c>
      <c r="V17" s="20" t="n">
        <f aca="false">U17+T17-1</f>
        <v>2886737919</v>
      </c>
      <c r="W17" s="20" t="n">
        <f aca="false">POWER(2,32)-T17</f>
        <v>4294965248</v>
      </c>
      <c r="X17" s="20" t="n">
        <f aca="false">IF($C17&gt;=31,U17,U17+1)</f>
        <v>2886735873</v>
      </c>
      <c r="Y17" s="20" t="n">
        <f aca="false">IF($C17=32,U17,IF($C17=31,V17,V17-1))</f>
        <v>2886737918</v>
      </c>
    </row>
    <row r="18" customFormat="false" ht="15" hidden="false" customHeight="false" outlineLevel="0" collapsed="false">
      <c r="A18" s="18" t="s">
        <v>73</v>
      </c>
      <c r="B18" s="5" t="s">
        <v>74</v>
      </c>
      <c r="C18" s="5" t="n">
        <v>21</v>
      </c>
      <c r="D18" s="11" t="str">
        <f aca="false">INT(W18/16777216)&amp;"."&amp;INT(MOD(W18,16777216)/65536)&amp;"."&amp;INT(MOD(W18,65536)/256)&amp;"."&amp;MOD(W18,256)</f>
        <v>255.255.248.0</v>
      </c>
      <c r="E18" s="11" t="str">
        <f aca="false">INT(U18/16777216)&amp;"."&amp;INT(MOD(U18,16777216)/65536)&amp;"."&amp;INT(MOD(U18,65536)/256)&amp;"."&amp;MOD(U18,256)</f>
        <v>172.16.32.0</v>
      </c>
      <c r="F18" s="11" t="str">
        <f aca="false">INT(X18/16777216)&amp;"."&amp;INT(MOD(X18,16777216)/65536)&amp;"."&amp;INT(MOD(X18,65536)/256)&amp;"."&amp;MOD(X18,256)</f>
        <v>172.16.32.1</v>
      </c>
      <c r="G18" s="11" t="str">
        <f aca="false">INT(Y18/16777216)&amp;"."&amp;INT(MOD(Y18,16777216)/65536)&amp;"."&amp;INT(MOD(Y18,65536)/256)&amp;"."&amp;MOD(Y18,256)</f>
        <v>172.16.39.254</v>
      </c>
      <c r="H18" s="11" t="str">
        <f aca="false">IF($C18=32,"N/A",IF($C18=31,"N/A",INT(V18/16777216)&amp;"."&amp;INT(MOD(V18,16777216)/65536)&amp;"."&amp;INT(MOD(V18,65536)/256)&amp;"."&amp;MOD(V18,256)))</f>
        <v>172.16.39.255</v>
      </c>
      <c r="I18" s="19" t="n">
        <f aca="false">IF($C18=32,1,IF($C18=31,2,T18-2))</f>
        <v>2046</v>
      </c>
      <c r="L18" s="20" t="n">
        <f aca="false">FIND(".",$B18)</f>
        <v>4</v>
      </c>
      <c r="M18" s="20" t="n">
        <f aca="false">FIND(".",$B18,L18+1)</f>
        <v>7</v>
      </c>
      <c r="N18" s="20" t="n">
        <f aca="false">FIND(".",$B18,M18+1)</f>
        <v>10</v>
      </c>
      <c r="O18" s="20" t="n">
        <f aca="false">VALUE(LEFT($B18,L18-1))</f>
        <v>172</v>
      </c>
      <c r="P18" s="20" t="n">
        <f aca="false">VALUE(MID($B18,L18+1,M18-L18-1))</f>
        <v>16</v>
      </c>
      <c r="Q18" s="20" t="n">
        <f aca="false">VALUE(MID($B18,M18+1,N18-M18-1))</f>
        <v>32</v>
      </c>
      <c r="R18" s="20" t="n">
        <f aca="false">VALUE(MID($B18,N18+1,LEN($B18)-N18))</f>
        <v>0</v>
      </c>
      <c r="S18" s="20" t="n">
        <f aca="false">O18*16777216+P18*65536+Q18*256+R18</f>
        <v>2886737920</v>
      </c>
      <c r="T18" s="20" t="n">
        <f aca="false">POWER(2,32-$C18)</f>
        <v>2048</v>
      </c>
      <c r="U18" s="20" t="n">
        <f aca="false">S18-MOD(S18,T18)</f>
        <v>2886737920</v>
      </c>
      <c r="V18" s="20" t="n">
        <f aca="false">U18+T18-1</f>
        <v>2886739967</v>
      </c>
      <c r="W18" s="20" t="n">
        <f aca="false">POWER(2,32)-T18</f>
        <v>4294965248</v>
      </c>
      <c r="X18" s="20" t="n">
        <f aca="false">IF($C18&gt;=31,U18,U18+1)</f>
        <v>2886737921</v>
      </c>
      <c r="Y18" s="20" t="n">
        <f aca="false">IF($C18=32,U18,IF($C18=31,V18,V18-1))</f>
        <v>2886739966</v>
      </c>
    </row>
    <row r="19" customFormat="false" ht="15" hidden="false" customHeight="false" outlineLevel="0" collapsed="false">
      <c r="A19" s="18" t="s">
        <v>75</v>
      </c>
      <c r="B19" s="5" t="s">
        <v>76</v>
      </c>
      <c r="C19" s="5" t="n">
        <v>21</v>
      </c>
      <c r="D19" s="11" t="str">
        <f aca="false">INT(W19/16777216)&amp;"."&amp;INT(MOD(W19,16777216)/65536)&amp;"."&amp;INT(MOD(W19,65536)/256)&amp;"."&amp;MOD(W19,256)</f>
        <v>255.255.248.0</v>
      </c>
      <c r="E19" s="11" t="str">
        <f aca="false">INT(U19/16777216)&amp;"."&amp;INT(MOD(U19,16777216)/65536)&amp;"."&amp;INT(MOD(U19,65536)/256)&amp;"."&amp;MOD(U19,256)</f>
        <v>172.16.40.0</v>
      </c>
      <c r="F19" s="11" t="str">
        <f aca="false">INT(X19/16777216)&amp;"."&amp;INT(MOD(X19,16777216)/65536)&amp;"."&amp;INT(MOD(X19,65536)/256)&amp;"."&amp;MOD(X19,256)</f>
        <v>172.16.40.1</v>
      </c>
      <c r="G19" s="11" t="str">
        <f aca="false">INT(Y19/16777216)&amp;"."&amp;INT(MOD(Y19,16777216)/65536)&amp;"."&amp;INT(MOD(Y19,65536)/256)&amp;"."&amp;MOD(Y19,256)</f>
        <v>172.16.47.254</v>
      </c>
      <c r="H19" s="11" t="str">
        <f aca="false">IF($C19=32,"N/A",IF($C19=31,"N/A",INT(V19/16777216)&amp;"."&amp;INT(MOD(V19,16777216)/65536)&amp;"."&amp;INT(MOD(V19,65536)/256)&amp;"."&amp;MOD(V19,256)))</f>
        <v>172.16.47.255</v>
      </c>
      <c r="I19" s="19" t="n">
        <f aca="false">IF($C19=32,1,IF($C19=31,2,T19-2))</f>
        <v>2046</v>
      </c>
      <c r="L19" s="20" t="n">
        <f aca="false">FIND(".",$B19)</f>
        <v>4</v>
      </c>
      <c r="M19" s="20" t="n">
        <f aca="false">FIND(".",$B19,L19+1)</f>
        <v>7</v>
      </c>
      <c r="N19" s="20" t="n">
        <f aca="false">FIND(".",$B19,M19+1)</f>
        <v>10</v>
      </c>
      <c r="O19" s="20" t="n">
        <f aca="false">VALUE(LEFT($B19,L19-1))</f>
        <v>172</v>
      </c>
      <c r="P19" s="20" t="n">
        <f aca="false">VALUE(MID($B19,L19+1,M19-L19-1))</f>
        <v>16</v>
      </c>
      <c r="Q19" s="20" t="n">
        <f aca="false">VALUE(MID($B19,M19+1,N19-M19-1))</f>
        <v>40</v>
      </c>
      <c r="R19" s="20" t="n">
        <f aca="false">VALUE(MID($B19,N19+1,LEN($B19)-N19))</f>
        <v>0</v>
      </c>
      <c r="S19" s="20" t="n">
        <f aca="false">O19*16777216+P19*65536+Q19*256+R19</f>
        <v>2886739968</v>
      </c>
      <c r="T19" s="20" t="n">
        <f aca="false">POWER(2,32-$C19)</f>
        <v>2048</v>
      </c>
      <c r="U19" s="20" t="n">
        <f aca="false">S19-MOD(S19,T19)</f>
        <v>2886739968</v>
      </c>
      <c r="V19" s="20" t="n">
        <f aca="false">U19+T19-1</f>
        <v>2886742015</v>
      </c>
      <c r="W19" s="20" t="n">
        <f aca="false">POWER(2,32)-T19</f>
        <v>4294965248</v>
      </c>
      <c r="X19" s="20" t="n">
        <f aca="false">IF($C19&gt;=31,U19,U19+1)</f>
        <v>2886739969</v>
      </c>
      <c r="Y19" s="20" t="n">
        <f aca="false">IF($C19=32,U19,IF($C19=31,V19,V19-1))</f>
        <v>2886742014</v>
      </c>
    </row>
    <row r="20" customFormat="false" ht="15" hidden="false" customHeight="false" outlineLevel="0" collapsed="false">
      <c r="A20" s="18" t="s">
        <v>77</v>
      </c>
      <c r="B20" s="5" t="s">
        <v>78</v>
      </c>
      <c r="C20" s="5" t="n">
        <v>21</v>
      </c>
      <c r="D20" s="11" t="str">
        <f aca="false">INT(W20/16777216)&amp;"."&amp;INT(MOD(W20,16777216)/65536)&amp;"."&amp;INT(MOD(W20,65536)/256)&amp;"."&amp;MOD(W20,256)</f>
        <v>255.255.248.0</v>
      </c>
      <c r="E20" s="11" t="str">
        <f aca="false">INT(U20/16777216)&amp;"."&amp;INT(MOD(U20,16777216)/65536)&amp;"."&amp;INT(MOD(U20,65536)/256)&amp;"."&amp;MOD(U20,256)</f>
        <v>172.16.48.0</v>
      </c>
      <c r="F20" s="11" t="str">
        <f aca="false">INT(X20/16777216)&amp;"."&amp;INT(MOD(X20,16777216)/65536)&amp;"."&amp;INT(MOD(X20,65536)/256)&amp;"."&amp;MOD(X20,256)</f>
        <v>172.16.48.1</v>
      </c>
      <c r="G20" s="11" t="str">
        <f aca="false">INT(Y20/16777216)&amp;"."&amp;INT(MOD(Y20,16777216)/65536)&amp;"."&amp;INT(MOD(Y20,65536)/256)&amp;"."&amp;MOD(Y20,256)</f>
        <v>172.16.55.254</v>
      </c>
      <c r="H20" s="11" t="str">
        <f aca="false">IF($C20=32,"N/A",IF($C20=31,"N/A",INT(V20/16777216)&amp;"."&amp;INT(MOD(V20,16777216)/65536)&amp;"."&amp;INT(MOD(V20,65536)/256)&amp;"."&amp;MOD(V20,256)))</f>
        <v>172.16.55.255</v>
      </c>
      <c r="I20" s="19" t="n">
        <f aca="false">IF($C20=32,1,IF($C20=31,2,T20-2))</f>
        <v>2046</v>
      </c>
      <c r="L20" s="20" t="n">
        <f aca="false">FIND(".",$B20)</f>
        <v>4</v>
      </c>
      <c r="M20" s="20" t="n">
        <f aca="false">FIND(".",$B20,L20+1)</f>
        <v>7</v>
      </c>
      <c r="N20" s="20" t="n">
        <f aca="false">FIND(".",$B20,M20+1)</f>
        <v>10</v>
      </c>
      <c r="O20" s="20" t="n">
        <f aca="false">VALUE(LEFT($B20,L20-1))</f>
        <v>172</v>
      </c>
      <c r="P20" s="20" t="n">
        <f aca="false">VALUE(MID($B20,L20+1,M20-L20-1))</f>
        <v>16</v>
      </c>
      <c r="Q20" s="20" t="n">
        <f aca="false">VALUE(MID($B20,M20+1,N20-M20-1))</f>
        <v>48</v>
      </c>
      <c r="R20" s="20" t="n">
        <f aca="false">VALUE(MID($B20,N20+1,LEN($B20)-N20))</f>
        <v>0</v>
      </c>
      <c r="S20" s="20" t="n">
        <f aca="false">O20*16777216+P20*65536+Q20*256+R20</f>
        <v>2886742016</v>
      </c>
      <c r="T20" s="20" t="n">
        <f aca="false">POWER(2,32-$C20)</f>
        <v>2048</v>
      </c>
      <c r="U20" s="20" t="n">
        <f aca="false">S20-MOD(S20,T20)</f>
        <v>2886742016</v>
      </c>
      <c r="V20" s="20" t="n">
        <f aca="false">U20+T20-1</f>
        <v>2886744063</v>
      </c>
      <c r="W20" s="20" t="n">
        <f aca="false">POWER(2,32)-T20</f>
        <v>4294965248</v>
      </c>
      <c r="X20" s="20" t="n">
        <f aca="false">IF($C20&gt;=31,U20,U20+1)</f>
        <v>2886742017</v>
      </c>
      <c r="Y20" s="20" t="n">
        <f aca="false">IF($C20=32,U20,IF($C20=31,V20,V20-1))</f>
        <v>2886744062</v>
      </c>
    </row>
    <row r="21" customFormat="false" ht="15" hidden="false" customHeight="false" outlineLevel="0" collapsed="false">
      <c r="A21" s="18" t="s">
        <v>79</v>
      </c>
      <c r="B21" s="5" t="s">
        <v>80</v>
      </c>
      <c r="C21" s="5" t="n">
        <v>21</v>
      </c>
      <c r="D21" s="11" t="str">
        <f aca="false">INT(W21/16777216)&amp;"."&amp;INT(MOD(W21,16777216)/65536)&amp;"."&amp;INT(MOD(W21,65536)/256)&amp;"."&amp;MOD(W21,256)</f>
        <v>255.255.248.0</v>
      </c>
      <c r="E21" s="11" t="str">
        <f aca="false">INT(U21/16777216)&amp;"."&amp;INT(MOD(U21,16777216)/65536)&amp;"."&amp;INT(MOD(U21,65536)/256)&amp;"."&amp;MOD(U21,256)</f>
        <v>172.16.56.0</v>
      </c>
      <c r="F21" s="11" t="str">
        <f aca="false">INT(X21/16777216)&amp;"."&amp;INT(MOD(X21,16777216)/65536)&amp;"."&amp;INT(MOD(X21,65536)/256)&amp;"."&amp;MOD(X21,256)</f>
        <v>172.16.56.1</v>
      </c>
      <c r="G21" s="11" t="str">
        <f aca="false">INT(Y21/16777216)&amp;"."&amp;INT(MOD(Y21,16777216)/65536)&amp;"."&amp;INT(MOD(Y21,65536)/256)&amp;"."&amp;MOD(Y21,256)</f>
        <v>172.16.63.254</v>
      </c>
      <c r="H21" s="11" t="str">
        <f aca="false">IF($C21=32,"N/A",IF($C21=31,"N/A",INT(V21/16777216)&amp;"."&amp;INT(MOD(V21,16777216)/65536)&amp;"."&amp;INT(MOD(V21,65536)/256)&amp;"."&amp;MOD(V21,256)))</f>
        <v>172.16.63.255</v>
      </c>
      <c r="I21" s="19" t="n">
        <f aca="false">IF($C21=32,1,IF($C21=31,2,T21-2))</f>
        <v>2046</v>
      </c>
      <c r="L21" s="20" t="n">
        <f aca="false">FIND(".",$B21)</f>
        <v>4</v>
      </c>
      <c r="M21" s="20" t="n">
        <f aca="false">FIND(".",$B21,L21+1)</f>
        <v>7</v>
      </c>
      <c r="N21" s="20" t="n">
        <f aca="false">FIND(".",$B21,M21+1)</f>
        <v>10</v>
      </c>
      <c r="O21" s="20" t="n">
        <f aca="false">VALUE(LEFT($B21,L21-1))</f>
        <v>172</v>
      </c>
      <c r="P21" s="20" t="n">
        <f aca="false">VALUE(MID($B21,L21+1,M21-L21-1))</f>
        <v>16</v>
      </c>
      <c r="Q21" s="20" t="n">
        <f aca="false">VALUE(MID($B21,M21+1,N21-M21-1))</f>
        <v>56</v>
      </c>
      <c r="R21" s="20" t="n">
        <f aca="false">VALUE(MID($B21,N21+1,LEN($B21)-N21))</f>
        <v>0</v>
      </c>
      <c r="S21" s="20" t="n">
        <f aca="false">O21*16777216+P21*65536+Q21*256+R21</f>
        <v>2886744064</v>
      </c>
      <c r="T21" s="20" t="n">
        <f aca="false">POWER(2,32-$C21)</f>
        <v>2048</v>
      </c>
      <c r="U21" s="20" t="n">
        <f aca="false">S21-MOD(S21,T21)</f>
        <v>2886744064</v>
      </c>
      <c r="V21" s="20" t="n">
        <f aca="false">U21+T21-1</f>
        <v>2886746111</v>
      </c>
      <c r="W21" s="20" t="n">
        <f aca="false">POWER(2,32)-T21</f>
        <v>4294965248</v>
      </c>
      <c r="X21" s="20" t="n">
        <f aca="false">IF($C21&gt;=31,U21,U21+1)</f>
        <v>2886744065</v>
      </c>
      <c r="Y21" s="20" t="n">
        <f aca="false">IF($C21=32,U21,IF($C21=31,V21,V21-1))</f>
        <v>2886746110</v>
      </c>
    </row>
    <row r="22" customFormat="false" ht="15" hidden="false" customHeight="false" outlineLevel="0" collapsed="false">
      <c r="A22" s="18" t="s">
        <v>81</v>
      </c>
      <c r="B22" s="5" t="s">
        <v>82</v>
      </c>
      <c r="C22" s="5" t="n">
        <v>21</v>
      </c>
      <c r="D22" s="11" t="str">
        <f aca="false">INT(W22/16777216)&amp;"."&amp;INT(MOD(W22,16777216)/65536)&amp;"."&amp;INT(MOD(W22,65536)/256)&amp;"."&amp;MOD(W22,256)</f>
        <v>255.255.248.0</v>
      </c>
      <c r="E22" s="11" t="str">
        <f aca="false">INT(U22/16777216)&amp;"."&amp;INT(MOD(U22,16777216)/65536)&amp;"."&amp;INT(MOD(U22,65536)/256)&amp;"."&amp;MOD(U22,256)</f>
        <v>172.16.64.0</v>
      </c>
      <c r="F22" s="11" t="str">
        <f aca="false">INT(X22/16777216)&amp;"."&amp;INT(MOD(X22,16777216)/65536)&amp;"."&amp;INT(MOD(X22,65536)/256)&amp;"."&amp;MOD(X22,256)</f>
        <v>172.16.64.1</v>
      </c>
      <c r="G22" s="11" t="str">
        <f aca="false">INT(Y22/16777216)&amp;"."&amp;INT(MOD(Y22,16777216)/65536)&amp;"."&amp;INT(MOD(Y22,65536)/256)&amp;"."&amp;MOD(Y22,256)</f>
        <v>172.16.71.254</v>
      </c>
      <c r="H22" s="11" t="str">
        <f aca="false">IF($C22=32,"N/A",IF($C22=31,"N/A",INT(V22/16777216)&amp;"."&amp;INT(MOD(V22,16777216)/65536)&amp;"."&amp;INT(MOD(V22,65536)/256)&amp;"."&amp;MOD(V22,256)))</f>
        <v>172.16.71.255</v>
      </c>
      <c r="I22" s="19" t="n">
        <f aca="false">IF($C22=32,1,IF($C22=31,2,T22-2))</f>
        <v>2046</v>
      </c>
      <c r="L22" s="20" t="n">
        <f aca="false">FIND(".",$B22)</f>
        <v>4</v>
      </c>
      <c r="M22" s="20" t="n">
        <f aca="false">FIND(".",$B22,L22+1)</f>
        <v>7</v>
      </c>
      <c r="N22" s="20" t="n">
        <f aca="false">FIND(".",$B22,M22+1)</f>
        <v>10</v>
      </c>
      <c r="O22" s="20" t="n">
        <f aca="false">VALUE(LEFT($B22,L22-1))</f>
        <v>172</v>
      </c>
      <c r="P22" s="20" t="n">
        <f aca="false">VALUE(MID($B22,L22+1,M22-L22-1))</f>
        <v>16</v>
      </c>
      <c r="Q22" s="20" t="n">
        <f aca="false">VALUE(MID($B22,M22+1,N22-M22-1))</f>
        <v>64</v>
      </c>
      <c r="R22" s="20" t="n">
        <f aca="false">VALUE(MID($B22,N22+1,LEN($B22)-N22))</f>
        <v>0</v>
      </c>
      <c r="S22" s="20" t="n">
        <f aca="false">O22*16777216+P22*65536+Q22*256+R22</f>
        <v>2886746112</v>
      </c>
      <c r="T22" s="20" t="n">
        <f aca="false">POWER(2,32-$C22)</f>
        <v>2048</v>
      </c>
      <c r="U22" s="20" t="n">
        <f aca="false">S22-MOD(S22,T22)</f>
        <v>2886746112</v>
      </c>
      <c r="V22" s="20" t="n">
        <f aca="false">U22+T22-1</f>
        <v>2886748159</v>
      </c>
      <c r="W22" s="20" t="n">
        <f aca="false">POWER(2,32)-T22</f>
        <v>4294965248</v>
      </c>
      <c r="X22" s="20" t="n">
        <f aca="false">IF($C22&gt;=31,U22,U22+1)</f>
        <v>2886746113</v>
      </c>
      <c r="Y22" s="20" t="n">
        <f aca="false">IF($C22=32,U22,IF($C22=31,V22,V22-1))</f>
        <v>2886748158</v>
      </c>
    </row>
    <row r="23" customFormat="false" ht="15" hidden="false" customHeight="false" outlineLevel="0" collapsed="false">
      <c r="A23" s="18" t="s">
        <v>83</v>
      </c>
      <c r="B23" s="5" t="s">
        <v>84</v>
      </c>
      <c r="C23" s="5" t="n">
        <v>21</v>
      </c>
      <c r="D23" s="11" t="str">
        <f aca="false">INT(W23/16777216)&amp;"."&amp;INT(MOD(W23,16777216)/65536)&amp;"."&amp;INT(MOD(W23,65536)/256)&amp;"."&amp;MOD(W23,256)</f>
        <v>255.255.248.0</v>
      </c>
      <c r="E23" s="11" t="str">
        <f aca="false">INT(U23/16777216)&amp;"."&amp;INT(MOD(U23,16777216)/65536)&amp;"."&amp;INT(MOD(U23,65536)/256)&amp;"."&amp;MOD(U23,256)</f>
        <v>172.16.72.0</v>
      </c>
      <c r="F23" s="11" t="str">
        <f aca="false">INT(X23/16777216)&amp;"."&amp;INT(MOD(X23,16777216)/65536)&amp;"."&amp;INT(MOD(X23,65536)/256)&amp;"."&amp;MOD(X23,256)</f>
        <v>172.16.72.1</v>
      </c>
      <c r="G23" s="11" t="str">
        <f aca="false">INT(Y23/16777216)&amp;"."&amp;INT(MOD(Y23,16777216)/65536)&amp;"."&amp;INT(MOD(Y23,65536)/256)&amp;"."&amp;MOD(Y23,256)</f>
        <v>172.16.79.254</v>
      </c>
      <c r="H23" s="11" t="str">
        <f aca="false">IF($C23=32,"N/A",IF($C23=31,"N/A",INT(V23/16777216)&amp;"."&amp;INT(MOD(V23,16777216)/65536)&amp;"."&amp;INT(MOD(V23,65536)/256)&amp;"."&amp;MOD(V23,256)))</f>
        <v>172.16.79.255</v>
      </c>
      <c r="I23" s="19" t="n">
        <f aca="false">IF($C23=32,1,IF($C23=31,2,T23-2))</f>
        <v>2046</v>
      </c>
      <c r="L23" s="20" t="n">
        <f aca="false">FIND(".",$B23)</f>
        <v>4</v>
      </c>
      <c r="M23" s="20" t="n">
        <f aca="false">FIND(".",$B23,L23+1)</f>
        <v>7</v>
      </c>
      <c r="N23" s="20" t="n">
        <f aca="false">FIND(".",$B23,M23+1)</f>
        <v>10</v>
      </c>
      <c r="O23" s="20" t="n">
        <f aca="false">VALUE(LEFT($B23,L23-1))</f>
        <v>172</v>
      </c>
      <c r="P23" s="20" t="n">
        <f aca="false">VALUE(MID($B23,L23+1,M23-L23-1))</f>
        <v>16</v>
      </c>
      <c r="Q23" s="20" t="n">
        <f aca="false">VALUE(MID($B23,M23+1,N23-M23-1))</f>
        <v>72</v>
      </c>
      <c r="R23" s="20" t="n">
        <f aca="false">VALUE(MID($B23,N23+1,LEN($B23)-N23))</f>
        <v>0</v>
      </c>
      <c r="S23" s="20" t="n">
        <f aca="false">O23*16777216+P23*65536+Q23*256+R23</f>
        <v>2886748160</v>
      </c>
      <c r="T23" s="20" t="n">
        <f aca="false">POWER(2,32-$C23)</f>
        <v>2048</v>
      </c>
      <c r="U23" s="20" t="n">
        <f aca="false">S23-MOD(S23,T23)</f>
        <v>2886748160</v>
      </c>
      <c r="V23" s="20" t="n">
        <f aca="false">U23+T23-1</f>
        <v>2886750207</v>
      </c>
      <c r="W23" s="20" t="n">
        <f aca="false">POWER(2,32)-T23</f>
        <v>4294965248</v>
      </c>
      <c r="X23" s="20" t="n">
        <f aca="false">IF($C23&gt;=31,U23,U23+1)</f>
        <v>2886748161</v>
      </c>
      <c r="Y23" s="20" t="n">
        <f aca="false">IF($C23=32,U23,IF($C23=31,V23,V23-1))</f>
        <v>2886750206</v>
      </c>
    </row>
    <row r="24" customFormat="false" ht="15" hidden="false" customHeight="false" outlineLevel="0" collapsed="false">
      <c r="A24" s="18" t="s">
        <v>85</v>
      </c>
      <c r="B24" s="5" t="s">
        <v>74</v>
      </c>
      <c r="C24" s="5" t="n">
        <v>19</v>
      </c>
      <c r="D24" s="11" t="str">
        <f aca="false">INT(W24/16777216)&amp;"."&amp;INT(MOD(W24,16777216)/65536)&amp;"."&amp;INT(MOD(W24,65536)/256)&amp;"."&amp;MOD(W24,256)</f>
        <v>255.255.224.0</v>
      </c>
      <c r="E24" s="11" t="str">
        <f aca="false">INT(U24/16777216)&amp;"."&amp;INT(MOD(U24,16777216)/65536)&amp;"."&amp;INT(MOD(U24,65536)/256)&amp;"."&amp;MOD(U24,256)</f>
        <v>172.16.32.0</v>
      </c>
      <c r="F24" s="11" t="str">
        <f aca="false">INT(X24/16777216)&amp;"."&amp;INT(MOD(X24,16777216)/65536)&amp;"."&amp;INT(MOD(X24,65536)/256)&amp;"."&amp;MOD(X24,256)</f>
        <v>172.16.32.1</v>
      </c>
      <c r="G24" s="11" t="str">
        <f aca="false">INT(Y24/16777216)&amp;"."&amp;INT(MOD(Y24,16777216)/65536)&amp;"."&amp;INT(MOD(Y24,65536)/256)&amp;"."&amp;MOD(Y24,256)</f>
        <v>172.16.63.254</v>
      </c>
      <c r="H24" s="11" t="str">
        <f aca="false">IF($C24=32,"N/A",IF($C24=31,"N/A",INT(V24/16777216)&amp;"."&amp;INT(MOD(V24,16777216)/65536)&amp;"."&amp;INT(MOD(V24,65536)/256)&amp;"."&amp;MOD(V24,256)))</f>
        <v>172.16.63.255</v>
      </c>
      <c r="I24" s="19" t="n">
        <f aca="false">IF($C24=32,1,IF($C24=31,2,T24-2))</f>
        <v>8190</v>
      </c>
      <c r="L24" s="20" t="n">
        <f aca="false">FIND(".",$B24)</f>
        <v>4</v>
      </c>
      <c r="M24" s="20" t="n">
        <f aca="false">FIND(".",$B24,L24+1)</f>
        <v>7</v>
      </c>
      <c r="N24" s="20" t="n">
        <f aca="false">FIND(".",$B24,M24+1)</f>
        <v>10</v>
      </c>
      <c r="O24" s="20" t="n">
        <f aca="false">VALUE(LEFT($B24,L24-1))</f>
        <v>172</v>
      </c>
      <c r="P24" s="20" t="n">
        <f aca="false">VALUE(MID($B24,L24+1,M24-L24-1))</f>
        <v>16</v>
      </c>
      <c r="Q24" s="20" t="n">
        <f aca="false">VALUE(MID($B24,M24+1,N24-M24-1))</f>
        <v>32</v>
      </c>
      <c r="R24" s="20" t="n">
        <f aca="false">VALUE(MID($B24,N24+1,LEN($B24)-N24))</f>
        <v>0</v>
      </c>
      <c r="S24" s="20" t="n">
        <f aca="false">O24*16777216+P24*65536+Q24*256+R24</f>
        <v>2886737920</v>
      </c>
      <c r="T24" s="20" t="n">
        <f aca="false">POWER(2,32-$C24)</f>
        <v>8192</v>
      </c>
      <c r="U24" s="20" t="n">
        <f aca="false">S24-MOD(S24,T24)</f>
        <v>2886737920</v>
      </c>
      <c r="V24" s="20" t="n">
        <f aca="false">U24+T24-1</f>
        <v>2886746111</v>
      </c>
      <c r="W24" s="20" t="n">
        <f aca="false">POWER(2,32)-T24</f>
        <v>4294959104</v>
      </c>
      <c r="X24" s="20" t="n">
        <f aca="false">IF($C24&gt;=31,U24,U24+1)</f>
        <v>2886737921</v>
      </c>
      <c r="Y24" s="20" t="n">
        <f aca="false">IF($C24=32,U24,IF($C24=31,V24,V24-1))</f>
        <v>2886746110</v>
      </c>
    </row>
    <row r="25" customFormat="false" ht="21.75" hidden="false" customHeight="true" outlineLevel="0" collapsed="false">
      <c r="A25" s="3" t="s">
        <v>86</v>
      </c>
      <c r="B25" s="3"/>
      <c r="C25" s="3"/>
      <c r="D25" s="3"/>
      <c r="E25" s="3"/>
      <c r="F25" s="3"/>
      <c r="G25" s="3"/>
      <c r="H25" s="3"/>
      <c r="I25" s="3"/>
    </row>
    <row r="26" customFormat="false" ht="15" hidden="false" customHeight="false" outlineLevel="0" collapsed="false">
      <c r="A26" s="18" t="s">
        <v>87</v>
      </c>
      <c r="B26" s="5" t="s">
        <v>88</v>
      </c>
      <c r="C26" s="5" t="n">
        <v>27</v>
      </c>
      <c r="D26" s="11" t="str">
        <f aca="false">INT(W26/16777216)&amp;"."&amp;INT(MOD(W26,16777216)/65536)&amp;"."&amp;INT(MOD(W26,65536)/256)&amp;"."&amp;MOD(W26,256)</f>
        <v>255.255.255.224</v>
      </c>
      <c r="E26" s="11" t="str">
        <f aca="false">INT(U26/16777216)&amp;"."&amp;INT(MOD(U26,16777216)/65536)&amp;"."&amp;INT(MOD(U26,65536)/256)&amp;"."&amp;MOD(U26,256)</f>
        <v>192.168.1.0</v>
      </c>
      <c r="F26" s="11" t="str">
        <f aca="false">INT(X26/16777216)&amp;"."&amp;INT(MOD(X26,16777216)/65536)&amp;"."&amp;INT(MOD(X26,65536)/256)&amp;"."&amp;MOD(X26,256)</f>
        <v>192.168.1.1</v>
      </c>
      <c r="G26" s="11" t="str">
        <f aca="false">INT(Y26/16777216)&amp;"."&amp;INT(MOD(Y26,16777216)/65536)&amp;"."&amp;INT(MOD(Y26,65536)/256)&amp;"."&amp;MOD(Y26,256)</f>
        <v>192.168.1.30</v>
      </c>
      <c r="H26" s="11" t="str">
        <f aca="false">IF($C26=32,"N/A",IF($C26=31,"N/A",INT(V26/16777216)&amp;"."&amp;INT(MOD(V26,16777216)/65536)&amp;"."&amp;INT(MOD(V26,65536)/256)&amp;"."&amp;MOD(V26,256)))</f>
        <v>192.168.1.31</v>
      </c>
      <c r="I26" s="19" t="n">
        <f aca="false">IF($C26=32,1,IF($C26=31,2,T26-2))</f>
        <v>30</v>
      </c>
      <c r="L26" s="20" t="n">
        <f aca="false">FIND(".",$B26)</f>
        <v>4</v>
      </c>
      <c r="M26" s="20" t="n">
        <f aca="false">FIND(".",$B26,L26+1)</f>
        <v>8</v>
      </c>
      <c r="N26" s="20" t="n">
        <f aca="false">FIND(".",$B26,M26+1)</f>
        <v>10</v>
      </c>
      <c r="O26" s="20" t="n">
        <f aca="false">VALUE(LEFT($B26,L26-1))</f>
        <v>192</v>
      </c>
      <c r="P26" s="20" t="n">
        <f aca="false">VALUE(MID($B26,L26+1,M26-L26-1))</f>
        <v>168</v>
      </c>
      <c r="Q26" s="20" t="n">
        <f aca="false">VALUE(MID($B26,M26+1,N26-M26-1))</f>
        <v>1</v>
      </c>
      <c r="R26" s="20" t="n">
        <f aca="false">VALUE(MID($B26,N26+1,LEN($B26)-N26))</f>
        <v>0</v>
      </c>
      <c r="S26" s="20" t="n">
        <f aca="false">O26*16777216+P26*65536+Q26*256+R26</f>
        <v>3232235776</v>
      </c>
      <c r="T26" s="20" t="n">
        <f aca="false">POWER(2,32-$C26)</f>
        <v>32</v>
      </c>
      <c r="U26" s="20" t="n">
        <f aca="false">S26-MOD(S26,T26)</f>
        <v>3232235776</v>
      </c>
      <c r="V26" s="20" t="n">
        <f aca="false">U26+T26-1</f>
        <v>3232235807</v>
      </c>
      <c r="W26" s="20" t="n">
        <f aca="false">POWER(2,32)-T26</f>
        <v>4294967264</v>
      </c>
      <c r="X26" s="20" t="n">
        <f aca="false">IF($C26&gt;=31,U26,U26+1)</f>
        <v>3232235777</v>
      </c>
      <c r="Y26" s="20" t="n">
        <f aca="false">IF($C26=32,U26,IF($C26=31,V26,V26-1))</f>
        <v>3232235806</v>
      </c>
    </row>
    <row r="27" customFormat="false" ht="15" hidden="false" customHeight="false" outlineLevel="0" collapsed="false">
      <c r="A27" s="18" t="s">
        <v>89</v>
      </c>
      <c r="B27" s="5" t="s">
        <v>90</v>
      </c>
      <c r="C27" s="5" t="n">
        <v>27</v>
      </c>
      <c r="D27" s="11" t="str">
        <f aca="false">INT(W27/16777216)&amp;"."&amp;INT(MOD(W27,16777216)/65536)&amp;"."&amp;INT(MOD(W27,65536)/256)&amp;"."&amp;MOD(W27,256)</f>
        <v>255.255.255.224</v>
      </c>
      <c r="E27" s="11" t="str">
        <f aca="false">INT(U27/16777216)&amp;"."&amp;INT(MOD(U27,16777216)/65536)&amp;"."&amp;INT(MOD(U27,65536)/256)&amp;"."&amp;MOD(U27,256)</f>
        <v>192.168.1.32</v>
      </c>
      <c r="F27" s="11" t="str">
        <f aca="false">INT(X27/16777216)&amp;"."&amp;INT(MOD(X27,16777216)/65536)&amp;"."&amp;INT(MOD(X27,65536)/256)&amp;"."&amp;MOD(X27,256)</f>
        <v>192.168.1.33</v>
      </c>
      <c r="G27" s="11" t="str">
        <f aca="false">INT(Y27/16777216)&amp;"."&amp;INT(MOD(Y27,16777216)/65536)&amp;"."&amp;INT(MOD(Y27,65536)/256)&amp;"."&amp;MOD(Y27,256)</f>
        <v>192.168.1.62</v>
      </c>
      <c r="H27" s="11" t="str">
        <f aca="false">IF($C27=32,"N/A",IF($C27=31,"N/A",INT(V27/16777216)&amp;"."&amp;INT(MOD(V27,16777216)/65536)&amp;"."&amp;INT(MOD(V27,65536)/256)&amp;"."&amp;MOD(V27,256)))</f>
        <v>192.168.1.63</v>
      </c>
      <c r="I27" s="19" t="n">
        <f aca="false">IF($C27=32,1,IF($C27=31,2,T27-2))</f>
        <v>30</v>
      </c>
      <c r="L27" s="20" t="n">
        <f aca="false">FIND(".",$B27)</f>
        <v>4</v>
      </c>
      <c r="M27" s="20" t="n">
        <f aca="false">FIND(".",$B27,L27+1)</f>
        <v>8</v>
      </c>
      <c r="N27" s="20" t="n">
        <f aca="false">FIND(".",$B27,M27+1)</f>
        <v>10</v>
      </c>
      <c r="O27" s="20" t="n">
        <f aca="false">VALUE(LEFT($B27,L27-1))</f>
        <v>192</v>
      </c>
      <c r="P27" s="20" t="n">
        <f aca="false">VALUE(MID($B27,L27+1,M27-L27-1))</f>
        <v>168</v>
      </c>
      <c r="Q27" s="20" t="n">
        <f aca="false">VALUE(MID($B27,M27+1,N27-M27-1))</f>
        <v>1</v>
      </c>
      <c r="R27" s="20" t="n">
        <f aca="false">VALUE(MID($B27,N27+1,LEN($B27)-N27))</f>
        <v>32</v>
      </c>
      <c r="S27" s="20" t="n">
        <f aca="false">O27*16777216+P27*65536+Q27*256+R27</f>
        <v>3232235808</v>
      </c>
      <c r="T27" s="20" t="n">
        <f aca="false">POWER(2,32-$C27)</f>
        <v>32</v>
      </c>
      <c r="U27" s="20" t="n">
        <f aca="false">S27-MOD(S27,T27)</f>
        <v>3232235808</v>
      </c>
      <c r="V27" s="20" t="n">
        <f aca="false">U27+T27-1</f>
        <v>3232235839</v>
      </c>
      <c r="W27" s="20" t="n">
        <f aca="false">POWER(2,32)-T27</f>
        <v>4294967264</v>
      </c>
      <c r="X27" s="20" t="n">
        <f aca="false">IF($C27&gt;=31,U27,U27+1)</f>
        <v>3232235809</v>
      </c>
      <c r="Y27" s="20" t="n">
        <f aca="false">IF($C27=32,U27,IF($C27=31,V27,V27-1))</f>
        <v>3232235838</v>
      </c>
    </row>
    <row r="28" customFormat="false" ht="15" hidden="false" customHeight="false" outlineLevel="0" collapsed="false">
      <c r="A28" s="18" t="s">
        <v>91</v>
      </c>
      <c r="B28" s="5" t="s">
        <v>92</v>
      </c>
      <c r="C28" s="5" t="n">
        <v>27</v>
      </c>
      <c r="D28" s="11" t="str">
        <f aca="false">INT(W28/16777216)&amp;"."&amp;INT(MOD(W28,16777216)/65536)&amp;"."&amp;INT(MOD(W28,65536)/256)&amp;"."&amp;MOD(W28,256)</f>
        <v>255.255.255.224</v>
      </c>
      <c r="E28" s="11" t="str">
        <f aca="false">INT(U28/16777216)&amp;"."&amp;INT(MOD(U28,16777216)/65536)&amp;"."&amp;INT(MOD(U28,65536)/256)&amp;"."&amp;MOD(U28,256)</f>
        <v>192.168.1.64</v>
      </c>
      <c r="F28" s="11" t="str">
        <f aca="false">INT(X28/16777216)&amp;"."&amp;INT(MOD(X28,16777216)/65536)&amp;"."&amp;INT(MOD(X28,65536)/256)&amp;"."&amp;MOD(X28,256)</f>
        <v>192.168.1.65</v>
      </c>
      <c r="G28" s="11" t="str">
        <f aca="false">INT(Y28/16777216)&amp;"."&amp;INT(MOD(Y28,16777216)/65536)&amp;"."&amp;INT(MOD(Y28,65536)/256)&amp;"."&amp;MOD(Y28,256)</f>
        <v>192.168.1.94</v>
      </c>
      <c r="H28" s="11" t="str">
        <f aca="false">IF($C28=32,"N/A",IF($C28=31,"N/A",INT(V28/16777216)&amp;"."&amp;INT(MOD(V28,16777216)/65536)&amp;"."&amp;INT(MOD(V28,65536)/256)&amp;"."&amp;MOD(V28,256)))</f>
        <v>192.168.1.95</v>
      </c>
      <c r="I28" s="19" t="n">
        <f aca="false">IF($C28=32,1,IF($C28=31,2,T28-2))</f>
        <v>30</v>
      </c>
      <c r="L28" s="20" t="n">
        <f aca="false">FIND(".",$B28)</f>
        <v>4</v>
      </c>
      <c r="M28" s="20" t="n">
        <f aca="false">FIND(".",$B28,L28+1)</f>
        <v>8</v>
      </c>
      <c r="N28" s="20" t="n">
        <f aca="false">FIND(".",$B28,M28+1)</f>
        <v>10</v>
      </c>
      <c r="O28" s="20" t="n">
        <f aca="false">VALUE(LEFT($B28,L28-1))</f>
        <v>192</v>
      </c>
      <c r="P28" s="20" t="n">
        <f aca="false">VALUE(MID($B28,L28+1,M28-L28-1))</f>
        <v>168</v>
      </c>
      <c r="Q28" s="20" t="n">
        <f aca="false">VALUE(MID($B28,M28+1,N28-M28-1))</f>
        <v>1</v>
      </c>
      <c r="R28" s="20" t="n">
        <f aca="false">VALUE(MID($B28,N28+1,LEN($B28)-N28))</f>
        <v>64</v>
      </c>
      <c r="S28" s="20" t="n">
        <f aca="false">O28*16777216+P28*65536+Q28*256+R28</f>
        <v>3232235840</v>
      </c>
      <c r="T28" s="20" t="n">
        <f aca="false">POWER(2,32-$C28)</f>
        <v>32</v>
      </c>
      <c r="U28" s="20" t="n">
        <f aca="false">S28-MOD(S28,T28)</f>
        <v>3232235840</v>
      </c>
      <c r="V28" s="20" t="n">
        <f aca="false">U28+T28-1</f>
        <v>3232235871</v>
      </c>
      <c r="W28" s="20" t="n">
        <f aca="false">POWER(2,32)-T28</f>
        <v>4294967264</v>
      </c>
      <c r="X28" s="20" t="n">
        <f aca="false">IF($C28&gt;=31,U28,U28+1)</f>
        <v>3232235841</v>
      </c>
      <c r="Y28" s="20" t="n">
        <f aca="false">IF($C28=32,U28,IF($C28=31,V28,V28-1))</f>
        <v>3232235870</v>
      </c>
    </row>
    <row r="29" customFormat="false" ht="15" hidden="false" customHeight="false" outlineLevel="0" collapsed="false">
      <c r="A29" s="18" t="s">
        <v>93</v>
      </c>
      <c r="B29" s="5" t="s">
        <v>94</v>
      </c>
      <c r="C29" s="5" t="n">
        <v>27</v>
      </c>
      <c r="D29" s="11" t="str">
        <f aca="false">INT(W29/16777216)&amp;"."&amp;INT(MOD(W29,16777216)/65536)&amp;"."&amp;INT(MOD(W29,65536)/256)&amp;"."&amp;MOD(W29,256)</f>
        <v>255.255.255.224</v>
      </c>
      <c r="E29" s="11" t="str">
        <f aca="false">INT(U29/16777216)&amp;"."&amp;INT(MOD(U29,16777216)/65536)&amp;"."&amp;INT(MOD(U29,65536)/256)&amp;"."&amp;MOD(U29,256)</f>
        <v>192.168.1.96</v>
      </c>
      <c r="F29" s="11" t="str">
        <f aca="false">INT(X29/16777216)&amp;"."&amp;INT(MOD(X29,16777216)/65536)&amp;"."&amp;INT(MOD(X29,65536)/256)&amp;"."&amp;MOD(X29,256)</f>
        <v>192.168.1.97</v>
      </c>
      <c r="G29" s="11" t="str">
        <f aca="false">INT(Y29/16777216)&amp;"."&amp;INT(MOD(Y29,16777216)/65536)&amp;"."&amp;INT(MOD(Y29,65536)/256)&amp;"."&amp;MOD(Y29,256)</f>
        <v>192.168.1.126</v>
      </c>
      <c r="H29" s="11" t="str">
        <f aca="false">IF($C29=32,"N/A",IF($C29=31,"N/A",INT(V29/16777216)&amp;"."&amp;INT(MOD(V29,16777216)/65536)&amp;"."&amp;INT(MOD(V29,65536)/256)&amp;"."&amp;MOD(V29,256)))</f>
        <v>192.168.1.127</v>
      </c>
      <c r="I29" s="19" t="n">
        <f aca="false">IF($C29=32,1,IF($C29=31,2,T29-2))</f>
        <v>30</v>
      </c>
      <c r="L29" s="20" t="n">
        <f aca="false">FIND(".",$B29)</f>
        <v>4</v>
      </c>
      <c r="M29" s="20" t="n">
        <f aca="false">FIND(".",$B29,L29+1)</f>
        <v>8</v>
      </c>
      <c r="N29" s="20" t="n">
        <f aca="false">FIND(".",$B29,M29+1)</f>
        <v>10</v>
      </c>
      <c r="O29" s="20" t="n">
        <f aca="false">VALUE(LEFT($B29,L29-1))</f>
        <v>192</v>
      </c>
      <c r="P29" s="20" t="n">
        <f aca="false">VALUE(MID($B29,L29+1,M29-L29-1))</f>
        <v>168</v>
      </c>
      <c r="Q29" s="20" t="n">
        <f aca="false">VALUE(MID($B29,M29+1,N29-M29-1))</f>
        <v>1</v>
      </c>
      <c r="R29" s="20" t="n">
        <f aca="false">VALUE(MID($B29,N29+1,LEN($B29)-N29))</f>
        <v>96</v>
      </c>
      <c r="S29" s="20" t="n">
        <f aca="false">O29*16777216+P29*65536+Q29*256+R29</f>
        <v>3232235872</v>
      </c>
      <c r="T29" s="20" t="n">
        <f aca="false">POWER(2,32-$C29)</f>
        <v>32</v>
      </c>
      <c r="U29" s="20" t="n">
        <f aca="false">S29-MOD(S29,T29)</f>
        <v>3232235872</v>
      </c>
      <c r="V29" s="20" t="n">
        <f aca="false">U29+T29-1</f>
        <v>3232235903</v>
      </c>
      <c r="W29" s="20" t="n">
        <f aca="false">POWER(2,32)-T29</f>
        <v>4294967264</v>
      </c>
      <c r="X29" s="20" t="n">
        <f aca="false">IF($C29&gt;=31,U29,U29+1)</f>
        <v>3232235873</v>
      </c>
      <c r="Y29" s="20" t="n">
        <f aca="false">IF($C29=32,U29,IF($C29=31,V29,V29-1))</f>
        <v>3232235902</v>
      </c>
    </row>
    <row r="30" customFormat="false" ht="21.75" hidden="false" customHeight="true" outlineLevel="0" collapsed="false">
      <c r="A30" s="3" t="s">
        <v>95</v>
      </c>
      <c r="B30" s="3"/>
      <c r="C30" s="3"/>
      <c r="D30" s="3"/>
      <c r="E30" s="3"/>
      <c r="F30" s="3"/>
      <c r="G30" s="3"/>
      <c r="H30" s="3"/>
      <c r="I30" s="3"/>
    </row>
    <row r="31" customFormat="false" ht="15" hidden="false" customHeight="false" outlineLevel="0" collapsed="false">
      <c r="A31" s="18" t="s">
        <v>96</v>
      </c>
      <c r="B31" s="5" t="s">
        <v>97</v>
      </c>
      <c r="C31" s="5" t="n">
        <v>24</v>
      </c>
      <c r="D31" s="11" t="str">
        <f aca="false">INT(W31/16777216)&amp;"."&amp;INT(MOD(W31,16777216)/65536)&amp;"."&amp;INT(MOD(W31,65536)/256)&amp;"."&amp;MOD(W31,256)</f>
        <v>255.255.255.0</v>
      </c>
      <c r="E31" s="11" t="str">
        <f aca="false">INT(U31/16777216)&amp;"."&amp;INT(MOD(U31,16777216)/65536)&amp;"."&amp;INT(MOD(U31,65536)/256)&amp;"."&amp;MOD(U31,256)</f>
        <v>200.10.0.0</v>
      </c>
      <c r="F31" s="11" t="str">
        <f aca="false">INT(X31/16777216)&amp;"."&amp;INT(MOD(X31,16777216)/65536)&amp;"."&amp;INT(MOD(X31,65536)/256)&amp;"."&amp;MOD(X31,256)</f>
        <v>200.10.0.1</v>
      </c>
      <c r="G31" s="11" t="str">
        <f aca="false">INT(Y31/16777216)&amp;"."&amp;INT(MOD(Y31,16777216)/65536)&amp;"."&amp;INT(MOD(Y31,65536)/256)&amp;"."&amp;MOD(Y31,256)</f>
        <v>200.10.0.254</v>
      </c>
      <c r="H31" s="11" t="str">
        <f aca="false">IF($C31=32,"N/A",IF($C31=31,"N/A",INT(V31/16777216)&amp;"."&amp;INT(MOD(V31,16777216)/65536)&amp;"."&amp;INT(MOD(V31,65536)/256)&amp;"."&amp;MOD(V31,256)))</f>
        <v>200.10.0.255</v>
      </c>
      <c r="I31" s="19" t="n">
        <f aca="false">IF($C31=32,1,IF($C31=31,2,T31-2))</f>
        <v>254</v>
      </c>
      <c r="L31" s="20" t="n">
        <f aca="false">FIND(".",$B31)</f>
        <v>4</v>
      </c>
      <c r="M31" s="20" t="n">
        <f aca="false">FIND(".",$B31,L31+1)</f>
        <v>7</v>
      </c>
      <c r="N31" s="20" t="n">
        <f aca="false">FIND(".",$B31,M31+1)</f>
        <v>9</v>
      </c>
      <c r="O31" s="20" t="n">
        <f aca="false">VALUE(LEFT($B31,L31-1))</f>
        <v>200</v>
      </c>
      <c r="P31" s="20" t="n">
        <f aca="false">VALUE(MID($B31,L31+1,M31-L31-1))</f>
        <v>10</v>
      </c>
      <c r="Q31" s="20" t="n">
        <f aca="false">VALUE(MID($B31,M31+1,N31-M31-1))</f>
        <v>0</v>
      </c>
      <c r="R31" s="20" t="n">
        <f aca="false">VALUE(MID($B31,N31+1,LEN($B31)-N31))</f>
        <v>0</v>
      </c>
      <c r="S31" s="20" t="n">
        <f aca="false">O31*16777216+P31*65536+Q31*256+R31</f>
        <v>3356098560</v>
      </c>
      <c r="T31" s="20" t="n">
        <f aca="false">POWER(2,32-$C31)</f>
        <v>256</v>
      </c>
      <c r="U31" s="20" t="n">
        <f aca="false">S31-MOD(S31,T31)</f>
        <v>3356098560</v>
      </c>
      <c r="V31" s="20" t="n">
        <f aca="false">U31+T31-1</f>
        <v>3356098815</v>
      </c>
      <c r="W31" s="20" t="n">
        <f aca="false">POWER(2,32)-T31</f>
        <v>4294967040</v>
      </c>
      <c r="X31" s="20" t="n">
        <f aca="false">IF($C31&gt;=31,U31,U31+1)</f>
        <v>3356098561</v>
      </c>
      <c r="Y31" s="20" t="n">
        <f aca="false">IF($C31=32,U31,IF($C31=31,V31,V31-1))</f>
        <v>3356098814</v>
      </c>
    </row>
    <row r="32" customFormat="false" ht="15" hidden="false" customHeight="false" outlineLevel="0" collapsed="false">
      <c r="A32" s="18" t="s">
        <v>98</v>
      </c>
      <c r="B32" s="5" t="s">
        <v>99</v>
      </c>
      <c r="C32" s="5" t="n">
        <v>24</v>
      </c>
      <c r="D32" s="11" t="str">
        <f aca="false">INT(W32/16777216)&amp;"."&amp;INT(MOD(W32,16777216)/65536)&amp;"."&amp;INT(MOD(W32,65536)/256)&amp;"."&amp;MOD(W32,256)</f>
        <v>255.255.255.0</v>
      </c>
      <c r="E32" s="11" t="str">
        <f aca="false">INT(U32/16777216)&amp;"."&amp;INT(MOD(U32,16777216)/65536)&amp;"."&amp;INT(MOD(U32,65536)/256)&amp;"."&amp;MOD(U32,256)</f>
        <v>200.10.1.0</v>
      </c>
      <c r="F32" s="11" t="str">
        <f aca="false">INT(X32/16777216)&amp;"."&amp;INT(MOD(X32,16777216)/65536)&amp;"."&amp;INT(MOD(X32,65536)/256)&amp;"."&amp;MOD(X32,256)</f>
        <v>200.10.1.1</v>
      </c>
      <c r="G32" s="11" t="str">
        <f aca="false">INT(Y32/16777216)&amp;"."&amp;INT(MOD(Y32,16777216)/65536)&amp;"."&amp;INT(MOD(Y32,65536)/256)&amp;"."&amp;MOD(Y32,256)</f>
        <v>200.10.1.254</v>
      </c>
      <c r="H32" s="11" t="str">
        <f aca="false">IF($C32=32,"N/A",IF($C32=31,"N/A",INT(V32/16777216)&amp;"."&amp;INT(MOD(V32,16777216)/65536)&amp;"."&amp;INT(MOD(V32,65536)/256)&amp;"."&amp;MOD(V32,256)))</f>
        <v>200.10.1.255</v>
      </c>
      <c r="I32" s="19" t="n">
        <f aca="false">IF($C32=32,1,IF($C32=31,2,T32-2))</f>
        <v>254</v>
      </c>
      <c r="L32" s="20" t="n">
        <f aca="false">FIND(".",$B32)</f>
        <v>4</v>
      </c>
      <c r="M32" s="20" t="n">
        <f aca="false">FIND(".",$B32,L32+1)</f>
        <v>7</v>
      </c>
      <c r="N32" s="20" t="n">
        <f aca="false">FIND(".",$B32,M32+1)</f>
        <v>9</v>
      </c>
      <c r="O32" s="20" t="n">
        <f aca="false">VALUE(LEFT($B32,L32-1))</f>
        <v>200</v>
      </c>
      <c r="P32" s="20" t="n">
        <f aca="false">VALUE(MID($B32,L32+1,M32-L32-1))</f>
        <v>10</v>
      </c>
      <c r="Q32" s="20" t="n">
        <f aca="false">VALUE(MID($B32,M32+1,N32-M32-1))</f>
        <v>1</v>
      </c>
      <c r="R32" s="20" t="n">
        <f aca="false">VALUE(MID($B32,N32+1,LEN($B32)-N32))</f>
        <v>0</v>
      </c>
      <c r="S32" s="20" t="n">
        <f aca="false">O32*16777216+P32*65536+Q32*256+R32</f>
        <v>3356098816</v>
      </c>
      <c r="T32" s="20" t="n">
        <f aca="false">POWER(2,32-$C32)</f>
        <v>256</v>
      </c>
      <c r="U32" s="20" t="n">
        <f aca="false">S32-MOD(S32,T32)</f>
        <v>3356098816</v>
      </c>
      <c r="V32" s="20" t="n">
        <f aca="false">U32+T32-1</f>
        <v>3356099071</v>
      </c>
      <c r="W32" s="20" t="n">
        <f aca="false">POWER(2,32)-T32</f>
        <v>4294967040</v>
      </c>
      <c r="X32" s="20" t="n">
        <f aca="false">IF($C32&gt;=31,U32,U32+1)</f>
        <v>3356098817</v>
      </c>
      <c r="Y32" s="20" t="n">
        <f aca="false">IF($C32=32,U32,IF($C32=31,V32,V32-1))</f>
        <v>3356099070</v>
      </c>
    </row>
    <row r="33" customFormat="false" ht="15" hidden="false" customHeight="false" outlineLevel="0" collapsed="false">
      <c r="A33" s="18" t="s">
        <v>100</v>
      </c>
      <c r="B33" s="5" t="s">
        <v>101</v>
      </c>
      <c r="C33" s="5" t="n">
        <v>24</v>
      </c>
      <c r="D33" s="11" t="str">
        <f aca="false">INT(W33/16777216)&amp;"."&amp;INT(MOD(W33,16777216)/65536)&amp;"."&amp;INT(MOD(W33,65536)/256)&amp;"."&amp;MOD(W33,256)</f>
        <v>255.255.255.0</v>
      </c>
      <c r="E33" s="11" t="str">
        <f aca="false">INT(U33/16777216)&amp;"."&amp;INT(MOD(U33,16777216)/65536)&amp;"."&amp;INT(MOD(U33,65536)/256)&amp;"."&amp;MOD(U33,256)</f>
        <v>200.10.2.0</v>
      </c>
      <c r="F33" s="11" t="str">
        <f aca="false">INT(X33/16777216)&amp;"."&amp;INT(MOD(X33,16777216)/65536)&amp;"."&amp;INT(MOD(X33,65536)/256)&amp;"."&amp;MOD(X33,256)</f>
        <v>200.10.2.1</v>
      </c>
      <c r="G33" s="11" t="str">
        <f aca="false">INT(Y33/16777216)&amp;"."&amp;INT(MOD(Y33,16777216)/65536)&amp;"."&amp;INT(MOD(Y33,65536)/256)&amp;"."&amp;MOD(Y33,256)</f>
        <v>200.10.2.254</v>
      </c>
      <c r="H33" s="11" t="str">
        <f aca="false">IF($C33=32,"N/A",IF($C33=31,"N/A",INT(V33/16777216)&amp;"."&amp;INT(MOD(V33,16777216)/65536)&amp;"."&amp;INT(MOD(V33,65536)/256)&amp;"."&amp;MOD(V33,256)))</f>
        <v>200.10.2.255</v>
      </c>
      <c r="I33" s="19" t="n">
        <f aca="false">IF($C33=32,1,IF($C33=31,2,T33-2))</f>
        <v>254</v>
      </c>
      <c r="L33" s="20" t="n">
        <f aca="false">FIND(".",$B33)</f>
        <v>4</v>
      </c>
      <c r="M33" s="20" t="n">
        <f aca="false">FIND(".",$B33,L33+1)</f>
        <v>7</v>
      </c>
      <c r="N33" s="20" t="n">
        <f aca="false">FIND(".",$B33,M33+1)</f>
        <v>9</v>
      </c>
      <c r="O33" s="20" t="n">
        <f aca="false">VALUE(LEFT($B33,L33-1))</f>
        <v>200</v>
      </c>
      <c r="P33" s="20" t="n">
        <f aca="false">VALUE(MID($B33,L33+1,M33-L33-1))</f>
        <v>10</v>
      </c>
      <c r="Q33" s="20" t="n">
        <f aca="false">VALUE(MID($B33,M33+1,N33-M33-1))</f>
        <v>2</v>
      </c>
      <c r="R33" s="20" t="n">
        <f aca="false">VALUE(MID($B33,N33+1,LEN($B33)-N33))</f>
        <v>0</v>
      </c>
      <c r="S33" s="20" t="n">
        <f aca="false">O33*16777216+P33*65536+Q33*256+R33</f>
        <v>3356099072</v>
      </c>
      <c r="T33" s="20" t="n">
        <f aca="false">POWER(2,32-$C33)</f>
        <v>256</v>
      </c>
      <c r="U33" s="20" t="n">
        <f aca="false">S33-MOD(S33,T33)</f>
        <v>3356099072</v>
      </c>
      <c r="V33" s="20" t="n">
        <f aca="false">U33+T33-1</f>
        <v>3356099327</v>
      </c>
      <c r="W33" s="20" t="n">
        <f aca="false">POWER(2,32)-T33</f>
        <v>4294967040</v>
      </c>
      <c r="X33" s="20" t="n">
        <f aca="false">IF($C33&gt;=31,U33,U33+1)</f>
        <v>3356099073</v>
      </c>
      <c r="Y33" s="20" t="n">
        <f aca="false">IF($C33=32,U33,IF($C33=31,V33,V33-1))</f>
        <v>3356099326</v>
      </c>
    </row>
    <row r="34" customFormat="false" ht="15" hidden="false" customHeight="false" outlineLevel="0" collapsed="false">
      <c r="A34" s="18" t="s">
        <v>102</v>
      </c>
      <c r="B34" s="5" t="s">
        <v>103</v>
      </c>
      <c r="C34" s="5" t="n">
        <v>24</v>
      </c>
      <c r="D34" s="11" t="str">
        <f aca="false">INT(W34/16777216)&amp;"."&amp;INT(MOD(W34,16777216)/65536)&amp;"."&amp;INT(MOD(W34,65536)/256)&amp;"."&amp;MOD(W34,256)</f>
        <v>255.255.255.0</v>
      </c>
      <c r="E34" s="11" t="str">
        <f aca="false">INT(U34/16777216)&amp;"."&amp;INT(MOD(U34,16777216)/65536)&amp;"."&amp;INT(MOD(U34,65536)/256)&amp;"."&amp;MOD(U34,256)</f>
        <v>200.10.3.0</v>
      </c>
      <c r="F34" s="11" t="str">
        <f aca="false">INT(X34/16777216)&amp;"."&amp;INT(MOD(X34,16777216)/65536)&amp;"."&amp;INT(MOD(X34,65536)/256)&amp;"."&amp;MOD(X34,256)</f>
        <v>200.10.3.1</v>
      </c>
      <c r="G34" s="11" t="str">
        <f aca="false">INT(Y34/16777216)&amp;"."&amp;INT(MOD(Y34,16777216)/65536)&amp;"."&amp;INT(MOD(Y34,65536)/256)&amp;"."&amp;MOD(Y34,256)</f>
        <v>200.10.3.254</v>
      </c>
      <c r="H34" s="11" t="str">
        <f aca="false">IF($C34=32,"N/A",IF($C34=31,"N/A",INT(V34/16777216)&amp;"."&amp;INT(MOD(V34,16777216)/65536)&amp;"."&amp;INT(MOD(V34,65536)/256)&amp;"."&amp;MOD(V34,256)))</f>
        <v>200.10.3.255</v>
      </c>
      <c r="I34" s="19" t="n">
        <f aca="false">IF($C34=32,1,IF($C34=31,2,T34-2))</f>
        <v>254</v>
      </c>
      <c r="L34" s="20" t="n">
        <f aca="false">FIND(".",$B34)</f>
        <v>4</v>
      </c>
      <c r="M34" s="20" t="n">
        <f aca="false">FIND(".",$B34,L34+1)</f>
        <v>7</v>
      </c>
      <c r="N34" s="20" t="n">
        <f aca="false">FIND(".",$B34,M34+1)</f>
        <v>9</v>
      </c>
      <c r="O34" s="20" t="n">
        <f aca="false">VALUE(LEFT($B34,L34-1))</f>
        <v>200</v>
      </c>
      <c r="P34" s="20" t="n">
        <f aca="false">VALUE(MID($B34,L34+1,M34-L34-1))</f>
        <v>10</v>
      </c>
      <c r="Q34" s="20" t="n">
        <f aca="false">VALUE(MID($B34,M34+1,N34-M34-1))</f>
        <v>3</v>
      </c>
      <c r="R34" s="20" t="n">
        <f aca="false">VALUE(MID($B34,N34+1,LEN($B34)-N34))</f>
        <v>0</v>
      </c>
      <c r="S34" s="20" t="n">
        <f aca="false">O34*16777216+P34*65536+Q34*256+R34</f>
        <v>3356099328</v>
      </c>
      <c r="T34" s="20" t="n">
        <f aca="false">POWER(2,32-$C34)</f>
        <v>256</v>
      </c>
      <c r="U34" s="20" t="n">
        <f aca="false">S34-MOD(S34,T34)</f>
        <v>3356099328</v>
      </c>
      <c r="V34" s="20" t="n">
        <f aca="false">U34+T34-1</f>
        <v>3356099583</v>
      </c>
      <c r="W34" s="20" t="n">
        <f aca="false">POWER(2,32)-T34</f>
        <v>4294967040</v>
      </c>
      <c r="X34" s="20" t="n">
        <f aca="false">IF($C34&gt;=31,U34,U34+1)</f>
        <v>3356099329</v>
      </c>
      <c r="Y34" s="20" t="n">
        <f aca="false">IF($C34=32,U34,IF($C34=31,V34,V34-1))</f>
        <v>3356099582</v>
      </c>
    </row>
    <row r="35" customFormat="false" ht="15" hidden="false" customHeight="false" outlineLevel="0" collapsed="false">
      <c r="A35" s="18" t="s">
        <v>104</v>
      </c>
      <c r="B35" s="5" t="s">
        <v>97</v>
      </c>
      <c r="C35" s="5" t="n">
        <v>22</v>
      </c>
      <c r="D35" s="11" t="str">
        <f aca="false">INT(W35/16777216)&amp;"."&amp;INT(MOD(W35,16777216)/65536)&amp;"."&amp;INT(MOD(W35,65536)/256)&amp;"."&amp;MOD(W35,256)</f>
        <v>255.255.252.0</v>
      </c>
      <c r="E35" s="11" t="str">
        <f aca="false">INT(U35/16777216)&amp;"."&amp;INT(MOD(U35,16777216)/65536)&amp;"."&amp;INT(MOD(U35,65536)/256)&amp;"."&amp;MOD(U35,256)</f>
        <v>200.10.0.0</v>
      </c>
      <c r="F35" s="11" t="str">
        <f aca="false">INT(X35/16777216)&amp;"."&amp;INT(MOD(X35,16777216)/65536)&amp;"."&amp;INT(MOD(X35,65536)/256)&amp;"."&amp;MOD(X35,256)</f>
        <v>200.10.0.1</v>
      </c>
      <c r="G35" s="11" t="str">
        <f aca="false">INT(Y35/16777216)&amp;"."&amp;INT(MOD(Y35,16777216)/65536)&amp;"."&amp;INT(MOD(Y35,65536)/256)&amp;"."&amp;MOD(Y35,256)</f>
        <v>200.10.3.254</v>
      </c>
      <c r="H35" s="11" t="str">
        <f aca="false">IF($C35=32,"N/A",IF($C35=31,"N/A",INT(V35/16777216)&amp;"."&amp;INT(MOD(V35,16777216)/65536)&amp;"."&amp;INT(MOD(V35,65536)/256)&amp;"."&amp;MOD(V35,256)))</f>
        <v>200.10.3.255</v>
      </c>
      <c r="I35" s="19" t="n">
        <f aca="false">IF($C35=32,1,IF($C35=31,2,T35-2))</f>
        <v>1022</v>
      </c>
      <c r="L35" s="20" t="n">
        <f aca="false">FIND(".",$B35)</f>
        <v>4</v>
      </c>
      <c r="M35" s="20" t="n">
        <f aca="false">FIND(".",$B35,L35+1)</f>
        <v>7</v>
      </c>
      <c r="N35" s="20" t="n">
        <f aca="false">FIND(".",$B35,M35+1)</f>
        <v>9</v>
      </c>
      <c r="O35" s="20" t="n">
        <f aca="false">VALUE(LEFT($B35,L35-1))</f>
        <v>200</v>
      </c>
      <c r="P35" s="20" t="n">
        <f aca="false">VALUE(MID($B35,L35+1,M35-L35-1))</f>
        <v>10</v>
      </c>
      <c r="Q35" s="20" t="n">
        <f aca="false">VALUE(MID($B35,M35+1,N35-M35-1))</f>
        <v>0</v>
      </c>
      <c r="R35" s="20" t="n">
        <f aca="false">VALUE(MID($B35,N35+1,LEN($B35)-N35))</f>
        <v>0</v>
      </c>
      <c r="S35" s="20" t="n">
        <f aca="false">O35*16777216+P35*65536+Q35*256+R35</f>
        <v>3356098560</v>
      </c>
      <c r="T35" s="20" t="n">
        <f aca="false">POWER(2,32-$C35)</f>
        <v>1024</v>
      </c>
      <c r="U35" s="20" t="n">
        <f aca="false">S35-MOD(S35,T35)</f>
        <v>3356098560</v>
      </c>
      <c r="V35" s="20" t="n">
        <f aca="false">U35+T35-1</f>
        <v>3356099583</v>
      </c>
      <c r="W35" s="20" t="n">
        <f aca="false">POWER(2,32)-T35</f>
        <v>4294966272</v>
      </c>
      <c r="X35" s="20" t="n">
        <f aca="false">IF($C35&gt;=31,U35,U35+1)</f>
        <v>3356098561</v>
      </c>
      <c r="Y35" s="20" t="n">
        <f aca="false">IF($C35=32,U35,IF($C35=31,V35,V35-1))</f>
        <v>3356099582</v>
      </c>
    </row>
  </sheetData>
  <mergeCells count="6">
    <mergeCell ref="A1:I1"/>
    <mergeCell ref="A2:I2"/>
    <mergeCell ref="A5:I5"/>
    <mergeCell ref="A13:I13"/>
    <mergeCell ref="A25:I25"/>
    <mergeCell ref="A30:I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2026-09-11T04:52:09Z</dcterms:created>
  <dc:creator>openpyxl</dc:creator>
  <dc:description/>
  <dc:language>en-US</dc:language>
  <cp:lastModifiedBy/>
  <dcterms:modified xsi:type="dcterms:W3CDTF">2026-09-11T04:52:09Z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